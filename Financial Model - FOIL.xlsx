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sha\Desktop\CA Docs\Fine Organics\"/>
    </mc:Choice>
  </mc:AlternateContent>
  <xr:revisionPtr revIDLastSave="0" documentId="13_ncr:1_{DED07AA0-A39A-4EAB-99B6-0B52A77CBC85}" xr6:coauthVersionLast="47" xr6:coauthVersionMax="47" xr10:uidLastSave="{00000000-0000-0000-0000-000000000000}"/>
  <bookViews>
    <workbookView xWindow="-108" yWindow="-108" windowWidth="23256" windowHeight="12456" activeTab="1" xr2:uid="{06439D42-BF53-4C13-B08A-6399599341E1}"/>
  </bookViews>
  <sheets>
    <sheet name="Analysis--&gt;" sheetId="10" r:id="rId1"/>
    <sheet name="P&amp;L Analysis" sheetId="5" r:id="rId2"/>
    <sheet name="Other Expenses" sheetId="6" r:id="rId3"/>
    <sheet name="BS" sheetId="7" r:id="rId4"/>
    <sheet name="WC" sheetId="8" r:id="rId5"/>
    <sheet name="Ratios" sheetId="9" r:id="rId6"/>
    <sheet name="Forecast--&gt;" sheetId="4" r:id="rId7"/>
    <sheet name="Assumptions" sheetId="2" r:id="rId8"/>
    <sheet name="Proj_PL" sheetId="1" r:id="rId9"/>
    <sheet name="Proj_WC" sheetId="3" r:id="rId10"/>
  </sheets>
  <definedNames>
    <definedName name="_xlnm._FilterDatabase" localSheetId="2" hidden="1">'Other Expenses'!$A$3:$G$125</definedName>
    <definedName name="_xlnm._FilterDatabase" localSheetId="1" hidden="1">'P&amp;L Analysis'!$A$4:$N$32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I42" i="1"/>
  <c r="H42" i="1"/>
  <c r="G42" i="1"/>
  <c r="E42" i="1"/>
  <c r="D42" i="1"/>
  <c r="C42" i="1"/>
  <c r="B42" i="1"/>
  <c r="F42" i="1"/>
  <c r="J41" i="1"/>
  <c r="I41" i="1"/>
  <c r="H41" i="1"/>
  <c r="L29" i="5" s="1"/>
  <c r="G41" i="1"/>
  <c r="K29" i="5" s="1"/>
  <c r="M29" i="5"/>
  <c r="N29" i="5"/>
  <c r="F41" i="1"/>
  <c r="J29" i="5"/>
  <c r="C46" i="2"/>
  <c r="G43" i="9"/>
  <c r="F43" i="9"/>
  <c r="E6" i="3"/>
  <c r="D6" i="3"/>
  <c r="C6" i="3"/>
  <c r="B6" i="3"/>
  <c r="C32" i="2"/>
  <c r="F21" i="2"/>
  <c r="E21" i="2"/>
  <c r="D21" i="2"/>
  <c r="C21" i="2"/>
  <c r="C42" i="9"/>
  <c r="E41" i="9"/>
  <c r="D41" i="9"/>
  <c r="G34" i="9"/>
  <c r="G42" i="9" s="1"/>
  <c r="F34" i="9"/>
  <c r="F42" i="9" s="1"/>
  <c r="C34" i="9"/>
  <c r="B34" i="9"/>
  <c r="G33" i="9"/>
  <c r="G40" i="9" s="1"/>
  <c r="F33" i="9"/>
  <c r="F40" i="9" s="1"/>
  <c r="E33" i="9"/>
  <c r="E40" i="9" s="1"/>
  <c r="G27" i="9"/>
  <c r="F27" i="9"/>
  <c r="E27" i="9"/>
  <c r="D27" i="9"/>
  <c r="G26" i="9"/>
  <c r="F26" i="9"/>
  <c r="E26" i="9"/>
  <c r="C26" i="9"/>
  <c r="C33" i="9" s="1"/>
  <c r="C40" i="9" s="1"/>
  <c r="B26" i="9"/>
  <c r="B33" i="9" s="1"/>
  <c r="B40" i="9" s="1"/>
  <c r="D25" i="9"/>
  <c r="G20" i="9"/>
  <c r="F20" i="9"/>
  <c r="E20" i="9"/>
  <c r="E22" i="9" s="1"/>
  <c r="Q7" i="9" s="1"/>
  <c r="D20" i="9"/>
  <c r="C20" i="9"/>
  <c r="F19" i="9"/>
  <c r="E19" i="9"/>
  <c r="C19" i="9"/>
  <c r="D18" i="9"/>
  <c r="F12" i="9"/>
  <c r="E12" i="9"/>
  <c r="C12" i="9"/>
  <c r="B12" i="9"/>
  <c r="N9" i="9"/>
  <c r="N8" i="9"/>
  <c r="N7" i="9"/>
  <c r="G7" i="9"/>
  <c r="F7" i="9"/>
  <c r="C7" i="9"/>
  <c r="N6" i="9"/>
  <c r="G6" i="9"/>
  <c r="E6" i="9"/>
  <c r="D6" i="9"/>
  <c r="G5" i="9"/>
  <c r="G19" i="9" s="1"/>
  <c r="F5" i="9"/>
  <c r="E5" i="9"/>
  <c r="D5" i="9"/>
  <c r="D19" i="9" s="1"/>
  <c r="C5" i="9"/>
  <c r="B5" i="9"/>
  <c r="B19" i="9" s="1"/>
  <c r="E23" i="8"/>
  <c r="D23" i="8"/>
  <c r="C23" i="8"/>
  <c r="B23" i="8"/>
  <c r="H22" i="8"/>
  <c r="D22" i="8"/>
  <c r="C22" i="8"/>
  <c r="C20" i="8"/>
  <c r="B20" i="8"/>
  <c r="H19" i="8"/>
  <c r="G19" i="8"/>
  <c r="F19" i="8"/>
  <c r="E19" i="8"/>
  <c r="D19" i="8"/>
  <c r="C19" i="8"/>
  <c r="B19" i="8"/>
  <c r="B18" i="8"/>
  <c r="H17" i="8"/>
  <c r="G17" i="8"/>
  <c r="F17" i="8"/>
  <c r="E17" i="8"/>
  <c r="D17" i="8"/>
  <c r="D25" i="8" s="1"/>
  <c r="C17" i="8"/>
  <c r="C25" i="8" s="1"/>
  <c r="D14" i="8"/>
  <c r="C14" i="8"/>
  <c r="B14" i="8"/>
  <c r="C13" i="8"/>
  <c r="B13" i="8"/>
  <c r="D12" i="8"/>
  <c r="C12" i="8"/>
  <c r="B12" i="8"/>
  <c r="H11" i="8"/>
  <c r="G11" i="8"/>
  <c r="D11" i="8"/>
  <c r="C11" i="8"/>
  <c r="B11" i="8"/>
  <c r="G10" i="8"/>
  <c r="F10" i="8"/>
  <c r="E10" i="8"/>
  <c r="F9" i="8"/>
  <c r="F15" i="8" s="1"/>
  <c r="E9" i="8"/>
  <c r="D9" i="8"/>
  <c r="H8" i="8"/>
  <c r="G8" i="8"/>
  <c r="F8" i="8"/>
  <c r="E8" i="8"/>
  <c r="F7" i="8"/>
  <c r="H6" i="8"/>
  <c r="G6" i="8"/>
  <c r="F6" i="8"/>
  <c r="E6" i="8"/>
  <c r="D6" i="8"/>
  <c r="C6" i="8"/>
  <c r="B6" i="8"/>
  <c r="G4" i="8"/>
  <c r="F4" i="8"/>
  <c r="E4" i="8"/>
  <c r="D4" i="8"/>
  <c r="C4" i="8"/>
  <c r="B4" i="8"/>
  <c r="A1" i="8"/>
  <c r="H47" i="7"/>
  <c r="G47" i="7"/>
  <c r="G22" i="8" s="1"/>
  <c r="F47" i="7"/>
  <c r="F22" i="8" s="1"/>
  <c r="E47" i="7"/>
  <c r="E22" i="8" s="1"/>
  <c r="D47" i="7"/>
  <c r="C47" i="7"/>
  <c r="B47" i="7"/>
  <c r="B22" i="8" s="1"/>
  <c r="H46" i="7"/>
  <c r="H23" i="8" s="1"/>
  <c r="G46" i="7"/>
  <c r="G23" i="8" s="1"/>
  <c r="F46" i="7"/>
  <c r="F23" i="8" s="1"/>
  <c r="E46" i="7"/>
  <c r="D46" i="7"/>
  <c r="C46" i="7"/>
  <c r="B46" i="7"/>
  <c r="H45" i="7"/>
  <c r="H18" i="8" s="1"/>
  <c r="G45" i="7"/>
  <c r="G18" i="8" s="1"/>
  <c r="F45" i="7"/>
  <c r="F18" i="8" s="1"/>
  <c r="E45" i="7"/>
  <c r="E18" i="8" s="1"/>
  <c r="D45" i="7"/>
  <c r="D18" i="8" s="1"/>
  <c r="C45" i="7"/>
  <c r="C18" i="8" s="1"/>
  <c r="B45" i="7"/>
  <c r="J44" i="7"/>
  <c r="H44" i="7"/>
  <c r="H20" i="8" s="1"/>
  <c r="G44" i="7"/>
  <c r="G20" i="8" s="1"/>
  <c r="F44" i="7"/>
  <c r="F20" i="8" s="1"/>
  <c r="E44" i="7"/>
  <c r="E20" i="8" s="1"/>
  <c r="D44" i="7"/>
  <c r="D20" i="8" s="1"/>
  <c r="C44" i="7"/>
  <c r="B44" i="7"/>
  <c r="H43" i="7"/>
  <c r="G43" i="7"/>
  <c r="F43" i="7"/>
  <c r="E43" i="7"/>
  <c r="D43" i="7"/>
  <c r="C43" i="7"/>
  <c r="C27" i="9" s="1"/>
  <c r="B43" i="7"/>
  <c r="H42" i="7"/>
  <c r="G42" i="7"/>
  <c r="F42" i="7"/>
  <c r="E42" i="7"/>
  <c r="E41" i="7"/>
  <c r="D41" i="7"/>
  <c r="D48" i="7" s="1"/>
  <c r="C41" i="7"/>
  <c r="B39" i="7"/>
  <c r="D38" i="7"/>
  <c r="D39" i="7" s="1"/>
  <c r="C38" i="7"/>
  <c r="C39" i="7" s="1"/>
  <c r="B38" i="7"/>
  <c r="H37" i="7"/>
  <c r="G37" i="7"/>
  <c r="G39" i="7" s="1"/>
  <c r="F37" i="7"/>
  <c r="F39" i="7" s="1"/>
  <c r="E37" i="7"/>
  <c r="E39" i="7" s="1"/>
  <c r="H36" i="7"/>
  <c r="H39" i="7" s="1"/>
  <c r="D36" i="7"/>
  <c r="C36" i="7"/>
  <c r="B36" i="7"/>
  <c r="C33" i="7"/>
  <c r="B33" i="7"/>
  <c r="H32" i="7"/>
  <c r="G32" i="7"/>
  <c r="F32" i="7"/>
  <c r="E32" i="7"/>
  <c r="E34" i="7" s="1"/>
  <c r="D32" i="7"/>
  <c r="C32" i="7"/>
  <c r="B32" i="7"/>
  <c r="H31" i="7"/>
  <c r="G31" i="7"/>
  <c r="G34" i="7" s="1"/>
  <c r="G35" i="9" s="1"/>
  <c r="G36" i="9" s="1"/>
  <c r="F31" i="7"/>
  <c r="F34" i="7" s="1"/>
  <c r="E31" i="7"/>
  <c r="D31" i="7"/>
  <c r="D34" i="7" s="1"/>
  <c r="D35" i="9" s="1"/>
  <c r="C31" i="7"/>
  <c r="C34" i="7" s="1"/>
  <c r="B31" i="7"/>
  <c r="B34" i="7" s="1"/>
  <c r="C28" i="7"/>
  <c r="H27" i="7"/>
  <c r="G27" i="7"/>
  <c r="F27" i="7"/>
  <c r="E27" i="7"/>
  <c r="D27" i="7"/>
  <c r="D8" i="8" s="1"/>
  <c r="C27" i="7"/>
  <c r="C8" i="8" s="1"/>
  <c r="B27" i="7"/>
  <c r="B8" i="8" s="1"/>
  <c r="H26" i="7"/>
  <c r="H12" i="8" s="1"/>
  <c r="G26" i="7"/>
  <c r="G12" i="8" s="1"/>
  <c r="F26" i="7"/>
  <c r="F12" i="8" s="1"/>
  <c r="E26" i="7"/>
  <c r="E12" i="8" s="1"/>
  <c r="D26" i="7"/>
  <c r="C26" i="7"/>
  <c r="B26" i="7"/>
  <c r="H25" i="7"/>
  <c r="H10" i="8" s="1"/>
  <c r="G25" i="7"/>
  <c r="F25" i="7"/>
  <c r="E25" i="7"/>
  <c r="D25" i="7"/>
  <c r="D10" i="8" s="1"/>
  <c r="C25" i="7"/>
  <c r="C10" i="8" s="1"/>
  <c r="B25" i="7"/>
  <c r="B10" i="8" s="1"/>
  <c r="H24" i="7"/>
  <c r="H13" i="8" s="1"/>
  <c r="G24" i="7"/>
  <c r="G13" i="8" s="1"/>
  <c r="F24" i="7"/>
  <c r="F13" i="8" s="1"/>
  <c r="E24" i="7"/>
  <c r="E13" i="8" s="1"/>
  <c r="D24" i="7"/>
  <c r="D13" i="8" s="1"/>
  <c r="H23" i="7"/>
  <c r="G23" i="7"/>
  <c r="F23" i="7"/>
  <c r="E23" i="7"/>
  <c r="D23" i="7"/>
  <c r="D28" i="7" s="1"/>
  <c r="D29" i="7" s="1"/>
  <c r="C23" i="7"/>
  <c r="B23" i="7"/>
  <c r="H22" i="7"/>
  <c r="G22" i="7"/>
  <c r="F22" i="7"/>
  <c r="E22" i="7"/>
  <c r="D22" i="7"/>
  <c r="C22" i="7"/>
  <c r="B22" i="7"/>
  <c r="H21" i="7"/>
  <c r="H7" i="8" s="1"/>
  <c r="H15" i="8" s="1"/>
  <c r="G21" i="7"/>
  <c r="G7" i="8" s="1"/>
  <c r="G15" i="8" s="1"/>
  <c r="F21" i="7"/>
  <c r="E21" i="7"/>
  <c r="E7" i="8" s="1"/>
  <c r="D21" i="7"/>
  <c r="D7" i="8" s="1"/>
  <c r="C21" i="7"/>
  <c r="C7" i="8" s="1"/>
  <c r="B21" i="7"/>
  <c r="H19" i="7"/>
  <c r="G19" i="7"/>
  <c r="F19" i="7"/>
  <c r="E19" i="7"/>
  <c r="D19" i="7"/>
  <c r="C19" i="7"/>
  <c r="C6" i="9" s="1"/>
  <c r="B19" i="7"/>
  <c r="B28" i="7" s="1"/>
  <c r="N17" i="7"/>
  <c r="M17" i="7"/>
  <c r="L17" i="7"/>
  <c r="E17" i="7"/>
  <c r="D17" i="7"/>
  <c r="O16" i="7"/>
  <c r="N16" i="7"/>
  <c r="M16" i="7"/>
  <c r="L16" i="7"/>
  <c r="K16" i="7"/>
  <c r="J16" i="7"/>
  <c r="H16" i="7"/>
  <c r="H9" i="8" s="1"/>
  <c r="G16" i="7"/>
  <c r="G9" i="8" s="1"/>
  <c r="F16" i="7"/>
  <c r="E16" i="7"/>
  <c r="D16" i="7"/>
  <c r="C16" i="7"/>
  <c r="C9" i="8" s="1"/>
  <c r="B16" i="7"/>
  <c r="B9" i="8" s="1"/>
  <c r="H15" i="7"/>
  <c r="G15" i="7"/>
  <c r="F15" i="7"/>
  <c r="E15" i="7"/>
  <c r="D15" i="7"/>
  <c r="C15" i="7"/>
  <c r="B15" i="7"/>
  <c r="H14" i="7"/>
  <c r="G14" i="7"/>
  <c r="F14" i="7"/>
  <c r="F11" i="8" s="1"/>
  <c r="E14" i="7"/>
  <c r="E11" i="8" s="1"/>
  <c r="D14" i="7"/>
  <c r="C14" i="7"/>
  <c r="B14" i="7"/>
  <c r="H13" i="7"/>
  <c r="H14" i="8" s="1"/>
  <c r="G13" i="7"/>
  <c r="G14" i="8" s="1"/>
  <c r="F13" i="7"/>
  <c r="F14" i="8" s="1"/>
  <c r="E13" i="7"/>
  <c r="E14" i="8" s="1"/>
  <c r="D13" i="7"/>
  <c r="C13" i="7"/>
  <c r="B13" i="7"/>
  <c r="H12" i="7"/>
  <c r="G12" i="7"/>
  <c r="F12" i="7"/>
  <c r="E12" i="7"/>
  <c r="D12" i="7"/>
  <c r="C12" i="7"/>
  <c r="B12" i="7"/>
  <c r="H10" i="7"/>
  <c r="G10" i="7"/>
  <c r="F10" i="7"/>
  <c r="E10" i="7"/>
  <c r="H9" i="7"/>
  <c r="G9" i="7"/>
  <c r="F9" i="7"/>
  <c r="E9" i="7"/>
  <c r="D9" i="7"/>
  <c r="C9" i="7"/>
  <c r="B9" i="7"/>
  <c r="H8" i="7"/>
  <c r="G8" i="7"/>
  <c r="F8" i="7"/>
  <c r="E8" i="7"/>
  <c r="D8" i="7"/>
  <c r="C8" i="7"/>
  <c r="B8" i="7"/>
  <c r="H7" i="7"/>
  <c r="G7" i="7"/>
  <c r="G13" i="9" s="1"/>
  <c r="F7" i="7"/>
  <c r="F13" i="9" s="1"/>
  <c r="E7" i="7"/>
  <c r="E13" i="9" s="1"/>
  <c r="D7" i="7"/>
  <c r="D13" i="9" s="1"/>
  <c r="C7" i="7"/>
  <c r="C13" i="9" s="1"/>
  <c r="B7" i="7"/>
  <c r="A1" i="7"/>
  <c r="A1" i="9" s="1"/>
  <c r="C123" i="6"/>
  <c r="B123" i="6"/>
  <c r="E120" i="6"/>
  <c r="G119" i="6"/>
  <c r="F119" i="6"/>
  <c r="F120" i="6" s="1"/>
  <c r="E119" i="6"/>
  <c r="D119" i="6"/>
  <c r="G115" i="6"/>
  <c r="F115" i="6"/>
  <c r="E115" i="6"/>
  <c r="E116" i="6" s="1"/>
  <c r="D115" i="6"/>
  <c r="G111" i="6"/>
  <c r="F111" i="6"/>
  <c r="E111" i="6"/>
  <c r="D111" i="6"/>
  <c r="G108" i="6"/>
  <c r="G107" i="6"/>
  <c r="F107" i="6"/>
  <c r="E107" i="6"/>
  <c r="D107" i="6"/>
  <c r="E104" i="6"/>
  <c r="G103" i="6"/>
  <c r="F103" i="6"/>
  <c r="F104" i="6" s="1"/>
  <c r="E103" i="6"/>
  <c r="D103" i="6"/>
  <c r="G99" i="6"/>
  <c r="F99" i="6"/>
  <c r="E99" i="6"/>
  <c r="D99" i="6"/>
  <c r="F96" i="6"/>
  <c r="G95" i="6"/>
  <c r="F95" i="6"/>
  <c r="E95" i="6"/>
  <c r="D95" i="6"/>
  <c r="F92" i="6"/>
  <c r="E92" i="6"/>
  <c r="G91" i="6"/>
  <c r="F91" i="6"/>
  <c r="E91" i="6"/>
  <c r="D91" i="6"/>
  <c r="G88" i="6"/>
  <c r="F88" i="6"/>
  <c r="E88" i="6"/>
  <c r="D88" i="6"/>
  <c r="G86" i="6"/>
  <c r="E86" i="6"/>
  <c r="G85" i="6"/>
  <c r="F85" i="6"/>
  <c r="E85" i="6"/>
  <c r="D85" i="6"/>
  <c r="G80" i="6"/>
  <c r="F80" i="6"/>
  <c r="E80" i="6"/>
  <c r="D80" i="6"/>
  <c r="G77" i="6"/>
  <c r="G76" i="6"/>
  <c r="F76" i="6"/>
  <c r="E76" i="6"/>
  <c r="D76" i="6"/>
  <c r="G73" i="6"/>
  <c r="F73" i="6"/>
  <c r="G72" i="6"/>
  <c r="F72" i="6"/>
  <c r="E72" i="6"/>
  <c r="E73" i="6" s="1"/>
  <c r="D72" i="6"/>
  <c r="G68" i="6"/>
  <c r="F68" i="6"/>
  <c r="E68" i="6"/>
  <c r="D68" i="6"/>
  <c r="F65" i="6"/>
  <c r="G64" i="6"/>
  <c r="G65" i="6" s="1"/>
  <c r="F64" i="6"/>
  <c r="E64" i="6"/>
  <c r="D64" i="6"/>
  <c r="G61" i="6"/>
  <c r="F61" i="6"/>
  <c r="G60" i="6"/>
  <c r="F60" i="6"/>
  <c r="E60" i="6"/>
  <c r="D60" i="6"/>
  <c r="G56" i="6"/>
  <c r="F56" i="6"/>
  <c r="E56" i="6"/>
  <c r="D56" i="6"/>
  <c r="G52" i="6"/>
  <c r="F52" i="6"/>
  <c r="E52" i="6"/>
  <c r="E53" i="6" s="1"/>
  <c r="D52" i="6"/>
  <c r="G48" i="6"/>
  <c r="F48" i="6"/>
  <c r="E48" i="6"/>
  <c r="D48" i="6"/>
  <c r="G45" i="6"/>
  <c r="F45" i="6"/>
  <c r="G44" i="6"/>
  <c r="F44" i="6"/>
  <c r="E44" i="6"/>
  <c r="D44" i="6"/>
  <c r="G40" i="6"/>
  <c r="G41" i="6" s="1"/>
  <c r="F40" i="6"/>
  <c r="E40" i="6"/>
  <c r="E41" i="6" s="1"/>
  <c r="D40" i="6"/>
  <c r="G37" i="6"/>
  <c r="F37" i="6"/>
  <c r="G36" i="6"/>
  <c r="F36" i="6"/>
  <c r="E36" i="6"/>
  <c r="E37" i="6" s="1"/>
  <c r="D36" i="6"/>
  <c r="F33" i="6"/>
  <c r="E33" i="6"/>
  <c r="G32" i="6"/>
  <c r="F32" i="6"/>
  <c r="E32" i="6"/>
  <c r="D32" i="6"/>
  <c r="G28" i="6"/>
  <c r="F28" i="6"/>
  <c r="E28" i="6"/>
  <c r="D28" i="6"/>
  <c r="G25" i="6"/>
  <c r="F25" i="6"/>
  <c r="G24" i="6"/>
  <c r="F24" i="6"/>
  <c r="E24" i="6"/>
  <c r="D24" i="6"/>
  <c r="G20" i="6"/>
  <c r="F20" i="6"/>
  <c r="E20" i="6"/>
  <c r="D20" i="6"/>
  <c r="G16" i="6"/>
  <c r="F16" i="6"/>
  <c r="E16" i="6"/>
  <c r="D16" i="6"/>
  <c r="E13" i="6"/>
  <c r="G12" i="6"/>
  <c r="G13" i="6" s="1"/>
  <c r="F12" i="6"/>
  <c r="E12" i="6"/>
  <c r="D12" i="6"/>
  <c r="G9" i="6"/>
  <c r="G8" i="6"/>
  <c r="F8" i="6"/>
  <c r="E8" i="6"/>
  <c r="D8" i="6"/>
  <c r="G3" i="6"/>
  <c r="F3" i="6"/>
  <c r="D3" i="6"/>
  <c r="B3" i="6"/>
  <c r="A3" i="6"/>
  <c r="G2" i="6"/>
  <c r="A1" i="6"/>
  <c r="H33" i="5"/>
  <c r="G33" i="5"/>
  <c r="F33" i="5"/>
  <c r="E33" i="5"/>
  <c r="D33" i="5"/>
  <c r="C33" i="5"/>
  <c r="B33" i="5"/>
  <c r="N30" i="5"/>
  <c r="M30" i="5"/>
  <c r="L30" i="5"/>
  <c r="K30" i="5"/>
  <c r="J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N28" i="5"/>
  <c r="M28" i="5"/>
  <c r="L28" i="5"/>
  <c r="K28" i="5"/>
  <c r="J28" i="5"/>
  <c r="H28" i="5"/>
  <c r="G28" i="5"/>
  <c r="G41" i="9" s="1"/>
  <c r="F28" i="5"/>
  <c r="F41" i="9" s="1"/>
  <c r="E28" i="5"/>
  <c r="D28" i="5"/>
  <c r="C28" i="5"/>
  <c r="C41" i="9" s="1"/>
  <c r="B28" i="5"/>
  <c r="B41" i="9" s="1"/>
  <c r="G27" i="5"/>
  <c r="F27" i="5"/>
  <c r="E27" i="5"/>
  <c r="H26" i="5"/>
  <c r="G26" i="5"/>
  <c r="F26" i="5"/>
  <c r="E26" i="5"/>
  <c r="D26" i="5"/>
  <c r="C26" i="5"/>
  <c r="B26" i="5"/>
  <c r="C27" i="5" s="1"/>
  <c r="E21" i="5"/>
  <c r="D21" i="5"/>
  <c r="C21" i="5"/>
  <c r="H20" i="5"/>
  <c r="G20" i="5"/>
  <c r="G21" i="5" s="1"/>
  <c r="F20" i="5"/>
  <c r="F21" i="5" s="1"/>
  <c r="E20" i="5"/>
  <c r="D20" i="5"/>
  <c r="C20" i="5"/>
  <c r="B20" i="5"/>
  <c r="H16" i="5"/>
  <c r="G16" i="5"/>
  <c r="F16" i="5"/>
  <c r="E16" i="5"/>
  <c r="D16" i="5"/>
  <c r="D17" i="5" s="1"/>
  <c r="C16" i="5"/>
  <c r="B16" i="5"/>
  <c r="B23" i="5" s="1"/>
  <c r="C13" i="5"/>
  <c r="H12" i="5"/>
  <c r="G12" i="5"/>
  <c r="F12" i="5"/>
  <c r="G13" i="5" s="1"/>
  <c r="E12" i="5"/>
  <c r="D12" i="5"/>
  <c r="C12" i="5"/>
  <c r="B12" i="5"/>
  <c r="H7" i="5"/>
  <c r="H10" i="5" s="1"/>
  <c r="H14" i="5" s="1"/>
  <c r="G7" i="5"/>
  <c r="E3" i="2" s="1"/>
  <c r="F7" i="5"/>
  <c r="D3" i="2" s="1"/>
  <c r="E7" i="5"/>
  <c r="E21" i="9" s="1"/>
  <c r="D7" i="5"/>
  <c r="E8" i="5" s="1"/>
  <c r="C7" i="5"/>
  <c r="C10" i="5" s="1"/>
  <c r="C5" i="6" s="1"/>
  <c r="B7" i="5"/>
  <c r="B10" i="5" s="1"/>
  <c r="B29" i="8" s="1"/>
  <c r="G4" i="5"/>
  <c r="F4" i="5"/>
  <c r="E4" i="5"/>
  <c r="E3" i="6" s="1"/>
  <c r="D4" i="5"/>
  <c r="C4" i="5"/>
  <c r="C3" i="6" s="1"/>
  <c r="B4" i="5"/>
  <c r="B14" i="5" l="1"/>
  <c r="G28" i="9"/>
  <c r="G29" i="9" s="1"/>
  <c r="R9" i="9" s="1"/>
  <c r="B21" i="9"/>
  <c r="D21" i="9"/>
  <c r="D22" i="9" s="1"/>
  <c r="Q6" i="9" s="1"/>
  <c r="D10" i="5"/>
  <c r="E10" i="5"/>
  <c r="D27" i="5"/>
  <c r="C3" i="2"/>
  <c r="G23" i="5"/>
  <c r="B5" i="6"/>
  <c r="B54" i="6" s="1"/>
  <c r="H22" i="5"/>
  <c r="B105" i="6"/>
  <c r="B24" i="5"/>
  <c r="B25" i="5" s="1"/>
  <c r="B26" i="6"/>
  <c r="H18" i="5"/>
  <c r="B22" i="6"/>
  <c r="C74" i="6"/>
  <c r="C10" i="6"/>
  <c r="C117" i="6"/>
  <c r="C54" i="6"/>
  <c r="C97" i="6"/>
  <c r="C113" i="6"/>
  <c r="C82" i="6"/>
  <c r="C34" i="6"/>
  <c r="C101" i="6"/>
  <c r="C90" i="6"/>
  <c r="C46" i="6"/>
  <c r="C70" i="6"/>
  <c r="C66" i="6"/>
  <c r="C42" i="6"/>
  <c r="C18" i="6"/>
  <c r="C78" i="6"/>
  <c r="C30" i="6"/>
  <c r="C58" i="6"/>
  <c r="C22" i="6"/>
  <c r="F17" i="7"/>
  <c r="E34" i="9"/>
  <c r="E48" i="7"/>
  <c r="C14" i="9"/>
  <c r="C14" i="5"/>
  <c r="C26" i="6"/>
  <c r="C93" i="6"/>
  <c r="H17" i="7"/>
  <c r="G17" i="7"/>
  <c r="E25" i="8"/>
  <c r="C21" i="9"/>
  <c r="C22" i="9" s="1"/>
  <c r="F21" i="9"/>
  <c r="F22" i="9" s="1"/>
  <c r="Q8" i="9" s="1"/>
  <c r="F8" i="5"/>
  <c r="C22" i="5"/>
  <c r="C124" i="6"/>
  <c r="E69" i="6"/>
  <c r="G104" i="6"/>
  <c r="C35" i="9"/>
  <c r="C36" i="9" s="1"/>
  <c r="F69" i="6"/>
  <c r="C121" i="6"/>
  <c r="D34" i="9"/>
  <c r="C62" i="6"/>
  <c r="C105" i="6"/>
  <c r="F28" i="9"/>
  <c r="F29" i="9" s="1"/>
  <c r="R8" i="9" s="1"/>
  <c r="C8" i="9"/>
  <c r="F49" i="7"/>
  <c r="F50" i="7" s="1"/>
  <c r="F35" i="9"/>
  <c r="F36" i="9"/>
  <c r="F10" i="5"/>
  <c r="F21" i="6"/>
  <c r="E45" i="6"/>
  <c r="G21" i="6"/>
  <c r="E89" i="6"/>
  <c r="C38" i="6"/>
  <c r="G89" i="6"/>
  <c r="F89" i="6"/>
  <c r="C14" i="6"/>
  <c r="E81" i="6"/>
  <c r="E100" i="6"/>
  <c r="G49" i="7"/>
  <c r="D15" i="8"/>
  <c r="D26" i="8" s="1"/>
  <c r="C8" i="5"/>
  <c r="F17" i="5"/>
  <c r="F23" i="5"/>
  <c r="F49" i="6"/>
  <c r="F57" i="6"/>
  <c r="G81" i="6"/>
  <c r="G100" i="6"/>
  <c r="B109" i="6"/>
  <c r="G116" i="6"/>
  <c r="B20" i="9"/>
  <c r="B7" i="8"/>
  <c r="B15" i="8" s="1"/>
  <c r="B26" i="8" s="1"/>
  <c r="E35" i="9"/>
  <c r="E49" i="7"/>
  <c r="E50" i="7" s="1"/>
  <c r="B7" i="9"/>
  <c r="B28" i="9"/>
  <c r="G17" i="5"/>
  <c r="B43" i="9"/>
  <c r="G49" i="6"/>
  <c r="G57" i="6"/>
  <c r="C109" i="6"/>
  <c r="C17" i="7"/>
  <c r="C29" i="7" s="1"/>
  <c r="H28" i="7"/>
  <c r="H29" i="7" s="1"/>
  <c r="G8" i="9"/>
  <c r="P9" i="9" s="1"/>
  <c r="E17" i="6"/>
  <c r="G33" i="6"/>
  <c r="B124" i="6"/>
  <c r="B22" i="5"/>
  <c r="E9" i="6"/>
  <c r="E77" i="6"/>
  <c r="E123" i="6"/>
  <c r="F77" i="6"/>
  <c r="B35" i="9"/>
  <c r="F48" i="7"/>
  <c r="F25" i="8"/>
  <c r="F26" i="8" s="1"/>
  <c r="B42" i="9"/>
  <c r="B36" i="9"/>
  <c r="G10" i="5"/>
  <c r="D30" i="1" s="1"/>
  <c r="G21" i="9"/>
  <c r="G22" i="9" s="1"/>
  <c r="Q9" i="9" s="1"/>
  <c r="F9" i="6"/>
  <c r="D124" i="6"/>
  <c r="E124" i="6"/>
  <c r="C87" i="6"/>
  <c r="B27" i="9"/>
  <c r="B29" i="9" s="1"/>
  <c r="B48" i="7"/>
  <c r="B49" i="7" s="1"/>
  <c r="E21" i="6"/>
  <c r="G69" i="6"/>
  <c r="H34" i="7"/>
  <c r="H49" i="7" s="1"/>
  <c r="H50" i="7" s="1"/>
  <c r="D123" i="6"/>
  <c r="D49" i="7"/>
  <c r="D50" i="7" s="1"/>
  <c r="C15" i="8"/>
  <c r="C26" i="8" s="1"/>
  <c r="B93" i="6"/>
  <c r="B30" i="6"/>
  <c r="B74" i="6"/>
  <c r="B66" i="6"/>
  <c r="B50" i="6"/>
  <c r="B14" i="6"/>
  <c r="B97" i="6"/>
  <c r="B113" i="6"/>
  <c r="B82" i="6"/>
  <c r="B34" i="6"/>
  <c r="B42" i="6"/>
  <c r="B78" i="6"/>
  <c r="B90" i="6"/>
  <c r="B18" i="6"/>
  <c r="B46" i="6"/>
  <c r="B70" i="6"/>
  <c r="B58" i="6"/>
  <c r="B10" i="6"/>
  <c r="E49" i="6"/>
  <c r="E57" i="6"/>
  <c r="F81" i="6"/>
  <c r="F100" i="6"/>
  <c r="F116" i="6"/>
  <c r="H48" i="7"/>
  <c r="E15" i="8"/>
  <c r="D8" i="5"/>
  <c r="B14" i="9"/>
  <c r="B18" i="5"/>
  <c r="G8" i="5"/>
  <c r="F41" i="6"/>
  <c r="C50" i="6"/>
  <c r="B17" i="8"/>
  <c r="B25" i="8" s="1"/>
  <c r="C29" i="8"/>
  <c r="C28" i="9"/>
  <c r="C29" i="9" s="1"/>
  <c r="D13" i="5"/>
  <c r="C23" i="5"/>
  <c r="C24" i="5" s="1"/>
  <c r="O17" i="7"/>
  <c r="H29" i="8"/>
  <c r="D7" i="9"/>
  <c r="D8" i="9" s="1"/>
  <c r="P6" i="9" s="1"/>
  <c r="D28" i="9"/>
  <c r="D29" i="9" s="1"/>
  <c r="R6" i="9" s="1"/>
  <c r="E13" i="5"/>
  <c r="D23" i="5"/>
  <c r="D24" i="5" s="1"/>
  <c r="E29" i="6"/>
  <c r="G123" i="6"/>
  <c r="G124" i="6" s="1"/>
  <c r="F112" i="6"/>
  <c r="E7" i="9"/>
  <c r="E8" i="9" s="1"/>
  <c r="P7" i="9" s="1"/>
  <c r="E28" i="9"/>
  <c r="E29" i="9" s="1"/>
  <c r="R7" i="9" s="1"/>
  <c r="E23" i="5"/>
  <c r="G112" i="6"/>
  <c r="J17" i="7"/>
  <c r="E28" i="7"/>
  <c r="E29" i="7" s="1"/>
  <c r="G25" i="8"/>
  <c r="G26" i="8" s="1"/>
  <c r="D12" i="9"/>
  <c r="B6" i="9"/>
  <c r="B8" i="9" s="1"/>
  <c r="C17" i="5"/>
  <c r="C18" i="5"/>
  <c r="H23" i="5"/>
  <c r="H24" i="5" s="1"/>
  <c r="E61" i="6"/>
  <c r="F28" i="7"/>
  <c r="F29" i="7" s="1"/>
  <c r="G12" i="9"/>
  <c r="G96" i="6"/>
  <c r="B17" i="7"/>
  <c r="B29" i="7" s="1"/>
  <c r="G28" i="7"/>
  <c r="B13" i="9"/>
  <c r="F13" i="5"/>
  <c r="F29" i="6"/>
  <c r="F17" i="6"/>
  <c r="E112" i="6"/>
  <c r="K17" i="7"/>
  <c r="G48" i="7"/>
  <c r="C48" i="7"/>
  <c r="C49" i="7" s="1"/>
  <c r="C50" i="7" s="1"/>
  <c r="H25" i="8"/>
  <c r="H26" i="8" s="1"/>
  <c r="C43" i="9"/>
  <c r="G17" i="6"/>
  <c r="G29" i="6"/>
  <c r="E65" i="6"/>
  <c r="E108" i="6"/>
  <c r="F53" i="6"/>
  <c r="E17" i="5"/>
  <c r="F13" i="6"/>
  <c r="G53" i="6"/>
  <c r="F86" i="6"/>
  <c r="E96" i="6"/>
  <c r="F108" i="6"/>
  <c r="G120" i="6"/>
  <c r="F6" i="9"/>
  <c r="F8" i="9" s="1"/>
  <c r="P8" i="9" s="1"/>
  <c r="D26" i="9"/>
  <c r="D33" i="9" s="1"/>
  <c r="D40" i="9" s="1"/>
  <c r="F123" i="6"/>
  <c r="F124" i="6" s="1"/>
  <c r="E25" i="6"/>
  <c r="G92" i="6"/>
  <c r="F22" i="5" l="1"/>
  <c r="C30" i="1"/>
  <c r="E14" i="9"/>
  <c r="E14" i="5"/>
  <c r="B30" i="1"/>
  <c r="D18" i="5"/>
  <c r="D5" i="6"/>
  <c r="D29" i="8"/>
  <c r="D14" i="5"/>
  <c r="C39" i="2" s="1"/>
  <c r="E18" i="5"/>
  <c r="E22" i="5"/>
  <c r="E29" i="8"/>
  <c r="E24" i="5"/>
  <c r="D22" i="5"/>
  <c r="B22" i="9"/>
  <c r="E5" i="6"/>
  <c r="D14" i="9"/>
  <c r="D15" i="9" s="1"/>
  <c r="O6" i="9" s="1"/>
  <c r="B101" i="6"/>
  <c r="C6" i="6"/>
  <c r="B31" i="5"/>
  <c r="B117" i="6"/>
  <c r="B87" i="6"/>
  <c r="B62" i="6"/>
  <c r="B121" i="6"/>
  <c r="B38" i="6"/>
  <c r="E31" i="5"/>
  <c r="E25" i="5"/>
  <c r="G28" i="8"/>
  <c r="H30" i="8"/>
  <c r="H28" i="8"/>
  <c r="H32" i="8"/>
  <c r="H25" i="5"/>
  <c r="H31" i="5"/>
  <c r="B30" i="8"/>
  <c r="B32" i="8"/>
  <c r="B50" i="7"/>
  <c r="D31" i="5"/>
  <c r="D25" i="5"/>
  <c r="D30" i="8"/>
  <c r="D28" i="8"/>
  <c r="D32" i="8"/>
  <c r="B32" i="5"/>
  <c r="B34" i="5"/>
  <c r="G29" i="8"/>
  <c r="G30" i="8" s="1"/>
  <c r="G22" i="5"/>
  <c r="G5" i="6"/>
  <c r="G24" i="5"/>
  <c r="G14" i="5"/>
  <c r="G14" i="9"/>
  <c r="E14" i="6"/>
  <c r="E26" i="8"/>
  <c r="C28" i="8"/>
  <c r="C32" i="8"/>
  <c r="C30" i="8"/>
  <c r="E36" i="9"/>
  <c r="E42" i="9"/>
  <c r="E43" i="9" s="1"/>
  <c r="F29" i="8"/>
  <c r="F30" i="8" s="1"/>
  <c r="F5" i="6"/>
  <c r="F24" i="5"/>
  <c r="F14" i="5"/>
  <c r="F14" i="9"/>
  <c r="G29" i="7"/>
  <c r="G50" i="7" s="1"/>
  <c r="C25" i="5"/>
  <c r="C31" i="5"/>
  <c r="G18" i="5"/>
  <c r="C15" i="9"/>
  <c r="F18" i="5"/>
  <c r="D42" i="9"/>
  <c r="D43" i="9" s="1"/>
  <c r="D36" i="9"/>
  <c r="E30" i="6" l="1"/>
  <c r="E90" i="6"/>
  <c r="E97" i="6"/>
  <c r="E101" i="6"/>
  <c r="E78" i="6"/>
  <c r="E54" i="6"/>
  <c r="E70" i="6"/>
  <c r="E34" i="6"/>
  <c r="E117" i="6"/>
  <c r="E66" i="6"/>
  <c r="E109" i="6"/>
  <c r="E121" i="6"/>
  <c r="E82" i="6"/>
  <c r="E38" i="6"/>
  <c r="E74" i="6"/>
  <c r="E93" i="6"/>
  <c r="E10" i="6"/>
  <c r="E105" i="6"/>
  <c r="E22" i="6"/>
  <c r="E18" i="6"/>
  <c r="E46" i="6"/>
  <c r="D42" i="6"/>
  <c r="D38" i="6"/>
  <c r="D50" i="6"/>
  <c r="D87" i="6"/>
  <c r="D74" i="6"/>
  <c r="D62" i="6"/>
  <c r="D109" i="6"/>
  <c r="D121" i="6"/>
  <c r="D46" i="6"/>
  <c r="D22" i="6"/>
  <c r="D70" i="6"/>
  <c r="D58" i="6"/>
  <c r="D93" i="6"/>
  <c r="D101" i="6"/>
  <c r="D82" i="6"/>
  <c r="D105" i="6"/>
  <c r="D66" i="6"/>
  <c r="D18" i="6"/>
  <c r="D54" i="6"/>
  <c r="D78" i="6"/>
  <c r="D26" i="6"/>
  <c r="D30" i="6"/>
  <c r="D14" i="6"/>
  <c r="D97" i="6"/>
  <c r="D90" i="6"/>
  <c r="D113" i="6"/>
  <c r="D10" i="6"/>
  <c r="D6" i="6"/>
  <c r="D34" i="6"/>
  <c r="D117" i="6"/>
  <c r="E6" i="6"/>
  <c r="E58" i="6"/>
  <c r="E87" i="6"/>
  <c r="E113" i="6"/>
  <c r="E42" i="6"/>
  <c r="G15" i="9"/>
  <c r="O9" i="9" s="1"/>
  <c r="F22" i="2"/>
  <c r="E50" i="6"/>
  <c r="E15" i="9"/>
  <c r="O7" i="9" s="1"/>
  <c r="D22" i="2"/>
  <c r="E26" i="6"/>
  <c r="F15" i="9"/>
  <c r="O8" i="9" s="1"/>
  <c r="E22" i="2"/>
  <c r="E62" i="6"/>
  <c r="F32" i="8"/>
  <c r="E30" i="8"/>
  <c r="E28" i="8"/>
  <c r="E32" i="8"/>
  <c r="F6" i="6"/>
  <c r="F10" i="6"/>
  <c r="F46" i="6"/>
  <c r="F93" i="6"/>
  <c r="F30" i="6"/>
  <c r="F97" i="6"/>
  <c r="F74" i="6"/>
  <c r="F62" i="6"/>
  <c r="F26" i="6"/>
  <c r="F50" i="6"/>
  <c r="F42" i="6"/>
  <c r="F109" i="6"/>
  <c r="F66" i="6"/>
  <c r="F90" i="6"/>
  <c r="F18" i="6"/>
  <c r="F113" i="6"/>
  <c r="F121" i="6"/>
  <c r="F105" i="6"/>
  <c r="F78" i="6"/>
  <c r="F117" i="6"/>
  <c r="F34" i="6"/>
  <c r="F70" i="6"/>
  <c r="F58" i="6"/>
  <c r="F82" i="6"/>
  <c r="F38" i="6"/>
  <c r="F54" i="6"/>
  <c r="F87" i="6"/>
  <c r="F22" i="6"/>
  <c r="F14" i="6"/>
  <c r="F101" i="6"/>
  <c r="G90" i="6"/>
  <c r="G78" i="6"/>
  <c r="G46" i="6"/>
  <c r="G10" i="6"/>
  <c r="G93" i="6"/>
  <c r="G30" i="6"/>
  <c r="G26" i="6"/>
  <c r="G42" i="6"/>
  <c r="G6" i="6"/>
  <c r="G62" i="6"/>
  <c r="G97" i="6"/>
  <c r="G109" i="6"/>
  <c r="G66" i="6"/>
  <c r="G74" i="6"/>
  <c r="G105" i="6"/>
  <c r="G87" i="6"/>
  <c r="G50" i="6"/>
  <c r="G22" i="6"/>
  <c r="G54" i="6"/>
  <c r="G117" i="6"/>
  <c r="G70" i="6"/>
  <c r="G34" i="6"/>
  <c r="G58" i="6"/>
  <c r="G101" i="6"/>
  <c r="G38" i="6"/>
  <c r="G121" i="6"/>
  <c r="G14" i="6"/>
  <c r="G113" i="6"/>
  <c r="G18" i="6"/>
  <c r="G82" i="6"/>
  <c r="F28" i="8"/>
  <c r="F31" i="5"/>
  <c r="F25" i="5"/>
  <c r="G25" i="5"/>
  <c r="G31" i="5"/>
  <c r="H34" i="5"/>
  <c r="H32" i="5"/>
  <c r="G32" i="8"/>
  <c r="C32" i="5"/>
  <c r="C34" i="5"/>
  <c r="D32" i="5"/>
  <c r="D34" i="5"/>
  <c r="E34" i="5"/>
  <c r="E32" i="5"/>
  <c r="G34" i="5" l="1"/>
  <c r="G32" i="5"/>
  <c r="F34" i="5"/>
  <c r="F32" i="5"/>
  <c r="E56" i="2" l="1"/>
  <c r="F56" i="2" s="1"/>
  <c r="G56" i="2" s="1"/>
  <c r="H56" i="2" s="1"/>
  <c r="G58" i="2"/>
  <c r="F58" i="2"/>
  <c r="E58" i="2"/>
  <c r="D58" i="2"/>
  <c r="H59" i="2"/>
  <c r="G59" i="2"/>
  <c r="F59" i="2"/>
  <c r="C71" i="2"/>
  <c r="C64" i="2"/>
  <c r="C67" i="2"/>
  <c r="C66" i="2"/>
  <c r="C65" i="2"/>
  <c r="E59" i="2"/>
  <c r="D59" i="2"/>
  <c r="D64" i="2" l="1"/>
  <c r="C70" i="2"/>
  <c r="C68" i="2"/>
  <c r="F75" i="2" l="1"/>
  <c r="E39" i="1"/>
  <c r="C51" i="2"/>
  <c r="F39" i="1" s="1"/>
  <c r="J26" i="5" s="1"/>
  <c r="E35" i="1"/>
  <c r="E34" i="1"/>
  <c r="E33" i="1"/>
  <c r="E30" i="1"/>
  <c r="E8" i="3" s="1"/>
  <c r="C36" i="2"/>
  <c r="F26" i="1" s="1"/>
  <c r="E9" i="3" l="1"/>
  <c r="F76" i="2"/>
  <c r="J27" i="5"/>
  <c r="I26" i="5"/>
  <c r="F77" i="2"/>
  <c r="G39" i="1"/>
  <c r="K26" i="5" s="1"/>
  <c r="K27" i="5" s="1"/>
  <c r="E37" i="1"/>
  <c r="E43" i="1" s="1"/>
  <c r="G26" i="1"/>
  <c r="F28" i="1"/>
  <c r="C33" i="2"/>
  <c r="H39" i="1" l="1"/>
  <c r="L26" i="5" s="1"/>
  <c r="L27" i="5" s="1"/>
  <c r="E38" i="1"/>
  <c r="H26" i="1"/>
  <c r="G28" i="1"/>
  <c r="I39" i="1" l="1"/>
  <c r="M26" i="5" s="1"/>
  <c r="M27" i="5" s="1"/>
  <c r="I26" i="1"/>
  <c r="J26" i="1" s="1"/>
  <c r="H28" i="1"/>
  <c r="J39" i="1" l="1"/>
  <c r="N26" i="5" s="1"/>
  <c r="N27" i="5" s="1"/>
  <c r="I28" i="1"/>
  <c r="J28" i="1"/>
  <c r="H16" i="1" l="1"/>
  <c r="D16" i="1"/>
  <c r="C13" i="1"/>
  <c r="D13" i="1" s="1"/>
  <c r="F13" i="1" s="1"/>
  <c r="G13" i="1" s="1"/>
  <c r="H13" i="1" s="1"/>
  <c r="I13" i="1" s="1"/>
  <c r="B12" i="1"/>
  <c r="B18" i="1" s="1"/>
  <c r="C4" i="2" s="1"/>
  <c r="C8" i="1"/>
  <c r="D8" i="1" s="1"/>
  <c r="F8" i="1" s="1"/>
  <c r="C9" i="1"/>
  <c r="C10" i="1"/>
  <c r="D10" i="1"/>
  <c r="F10" i="1"/>
  <c r="G10" i="1" s="1"/>
  <c r="H10" i="1" s="1"/>
  <c r="I10" i="1" s="1"/>
  <c r="J10" i="1" s="1"/>
  <c r="C11" i="1"/>
  <c r="D11" i="1" s="1"/>
  <c r="F11" i="1" s="1"/>
  <c r="G11" i="1" s="1"/>
  <c r="H11" i="1" s="1"/>
  <c r="I11" i="1" s="1"/>
  <c r="J11" i="1" s="1"/>
  <c r="C15" i="1"/>
  <c r="D15" i="1" s="1"/>
  <c r="F15" i="1" s="1"/>
  <c r="G15" i="1" s="1"/>
  <c r="H15" i="1" s="1"/>
  <c r="I15" i="1" s="1"/>
  <c r="J15" i="1" s="1"/>
  <c r="C7" i="1"/>
  <c r="D7" i="1" s="1"/>
  <c r="F7" i="1" s="1"/>
  <c r="I16" i="1" l="1"/>
  <c r="J13" i="1"/>
  <c r="J16" i="1" s="1"/>
  <c r="C12" i="1"/>
  <c r="C18" i="1" s="1"/>
  <c r="D4" i="2" s="1"/>
  <c r="G8" i="1"/>
  <c r="H8" i="1" s="1"/>
  <c r="I8" i="1" s="1"/>
  <c r="J8" i="1" s="1"/>
  <c r="D9" i="1"/>
  <c r="F9" i="1" s="1"/>
  <c r="G9" i="1" s="1"/>
  <c r="H9" i="1" s="1"/>
  <c r="I9" i="1" s="1"/>
  <c r="J9" i="1" s="1"/>
  <c r="G7" i="1"/>
  <c r="G12" i="1" l="1"/>
  <c r="G18" i="1" s="1"/>
  <c r="D12" i="1"/>
  <c r="D18" i="1" s="1"/>
  <c r="E4" i="2" s="1"/>
  <c r="F12" i="1"/>
  <c r="F18" i="1" s="1"/>
  <c r="H7" i="1"/>
  <c r="H12" i="1" s="1"/>
  <c r="H18" i="1" s="1"/>
  <c r="I7" i="1" l="1"/>
  <c r="I12" i="1" s="1"/>
  <c r="I18" i="1" s="1"/>
  <c r="J7" i="1" l="1"/>
  <c r="J12" i="1" s="1"/>
  <c r="J18" i="1" s="1"/>
  <c r="C5" i="2" l="1"/>
  <c r="E5" i="2" l="1"/>
  <c r="D5" i="2"/>
  <c r="C6" i="2" l="1"/>
  <c r="F19" i="1" s="1"/>
  <c r="G19" i="1" s="1"/>
  <c r="B8" i="3"/>
  <c r="B37" i="1"/>
  <c r="C8" i="3"/>
  <c r="C37" i="1"/>
  <c r="D8" i="3"/>
  <c r="D37" i="1"/>
  <c r="F21" i="1" l="1"/>
  <c r="F23" i="2"/>
  <c r="D23" i="2"/>
  <c r="E76" i="2"/>
  <c r="E23" i="2"/>
  <c r="D76" i="2"/>
  <c r="H19" i="1"/>
  <c r="G21" i="1"/>
  <c r="C76" i="2"/>
  <c r="C24" i="2" l="1"/>
  <c r="C27" i="2" s="1"/>
  <c r="F22" i="1" s="1"/>
  <c r="G22" i="1" s="1"/>
  <c r="I19" i="1"/>
  <c r="H21" i="1"/>
  <c r="F24" i="1" l="1"/>
  <c r="F30" i="1" s="1"/>
  <c r="J7" i="5" s="1"/>
  <c r="G24" i="1"/>
  <c r="G30" i="1" s="1"/>
  <c r="H22" i="1"/>
  <c r="J19" i="1"/>
  <c r="J21" i="1" s="1"/>
  <c r="I21" i="1"/>
  <c r="K7" i="5" l="1"/>
  <c r="J8" i="5"/>
  <c r="J10" i="5"/>
  <c r="I7" i="5"/>
  <c r="I10" i="5" s="1"/>
  <c r="F8" i="3"/>
  <c r="F31" i="1"/>
  <c r="F34" i="1"/>
  <c r="F35" i="1"/>
  <c r="I22" i="1"/>
  <c r="H24" i="1"/>
  <c r="H30" i="1" s="1"/>
  <c r="G8" i="3"/>
  <c r="G35" i="1"/>
  <c r="G34" i="1"/>
  <c r="G31" i="1"/>
  <c r="K16" i="5" l="1"/>
  <c r="K20" i="5"/>
  <c r="L7" i="5"/>
  <c r="J20" i="5"/>
  <c r="J16" i="5"/>
  <c r="K8" i="5"/>
  <c r="K10" i="5"/>
  <c r="F33" i="1"/>
  <c r="G33" i="1"/>
  <c r="H33" i="1"/>
  <c r="H34" i="1"/>
  <c r="H31" i="1"/>
  <c r="H35" i="1"/>
  <c r="H8" i="3"/>
  <c r="J22" i="1"/>
  <c r="J24" i="1" s="1"/>
  <c r="J30" i="1" s="1"/>
  <c r="N7" i="5" s="1"/>
  <c r="I24" i="1"/>
  <c r="I30" i="1" s="1"/>
  <c r="M7" i="5" s="1"/>
  <c r="K12" i="5" l="1"/>
  <c r="J12" i="5"/>
  <c r="I20" i="5"/>
  <c r="I22" i="5" s="1"/>
  <c r="J21" i="5"/>
  <c r="J22" i="5"/>
  <c r="M10" i="5"/>
  <c r="M8" i="5"/>
  <c r="L10" i="5"/>
  <c r="L8" i="5"/>
  <c r="L12" i="5"/>
  <c r="I16" i="5"/>
  <c r="I18" i="5" s="1"/>
  <c r="J17" i="5"/>
  <c r="J18" i="5"/>
  <c r="N8" i="5"/>
  <c r="N10" i="5"/>
  <c r="K22" i="5"/>
  <c r="K21" i="5"/>
  <c r="L20" i="5"/>
  <c r="K17" i="5"/>
  <c r="K18" i="5"/>
  <c r="L16" i="5"/>
  <c r="I33" i="1"/>
  <c r="J33" i="1"/>
  <c r="H37" i="1"/>
  <c r="H38" i="1"/>
  <c r="H43" i="1"/>
  <c r="J8" i="3"/>
  <c r="J31" i="1"/>
  <c r="J35" i="1"/>
  <c r="J34" i="1"/>
  <c r="N16" i="5" s="1"/>
  <c r="G37" i="1"/>
  <c r="I8" i="3"/>
  <c r="I35" i="1"/>
  <c r="I34" i="1"/>
  <c r="I31" i="1"/>
  <c r="F37" i="1"/>
  <c r="N12" i="5" l="1"/>
  <c r="M16" i="5"/>
  <c r="M20" i="5"/>
  <c r="L14" i="5"/>
  <c r="N20" i="5"/>
  <c r="M12" i="5"/>
  <c r="L13" i="5"/>
  <c r="L23" i="5"/>
  <c r="L24" i="5" s="1"/>
  <c r="L25" i="5" s="1"/>
  <c r="L17" i="5"/>
  <c r="L18" i="5"/>
  <c r="L21" i="5"/>
  <c r="L22" i="5"/>
  <c r="N17" i="5"/>
  <c r="I12" i="5"/>
  <c r="J14" i="5"/>
  <c r="J23" i="5"/>
  <c r="J24" i="5" s="1"/>
  <c r="J25" i="5" s="1"/>
  <c r="J13" i="5"/>
  <c r="N18" i="5"/>
  <c r="K13" i="5"/>
  <c r="K14" i="5"/>
  <c r="K23" i="5"/>
  <c r="K24" i="5" s="1"/>
  <c r="K25" i="5" s="1"/>
  <c r="J37" i="1"/>
  <c r="J38" i="1" s="1"/>
  <c r="F38" i="1"/>
  <c r="F43" i="1"/>
  <c r="I37" i="1"/>
  <c r="G43" i="1"/>
  <c r="G38" i="1"/>
  <c r="J43" i="1" l="1"/>
  <c r="M23" i="5"/>
  <c r="M24" i="5" s="1"/>
  <c r="M25" i="5" s="1"/>
  <c r="M14" i="5"/>
  <c r="M13" i="5"/>
  <c r="N22" i="5"/>
  <c r="N21" i="5"/>
  <c r="I23" i="5"/>
  <c r="I24" i="5" s="1"/>
  <c r="I25" i="5" s="1"/>
  <c r="I14" i="5"/>
  <c r="M22" i="5"/>
  <c r="M21" i="5"/>
  <c r="M17" i="5"/>
  <c r="M18" i="5"/>
  <c r="N23" i="5"/>
  <c r="N24" i="5" s="1"/>
  <c r="N25" i="5" s="1"/>
  <c r="N14" i="5"/>
  <c r="N13" i="5"/>
  <c r="I43" i="1"/>
  <c r="I38" i="1"/>
  <c r="D75" i="2" l="1"/>
  <c r="D77" i="2" s="1"/>
  <c r="C9" i="3"/>
  <c r="C75" i="2"/>
  <c r="C77" i="2" s="1"/>
  <c r="B9" i="3"/>
  <c r="E75" i="2" l="1"/>
  <c r="E77" i="2" s="1"/>
  <c r="C79" i="2" s="1"/>
  <c r="F9" i="3" s="1"/>
  <c r="D9" i="3"/>
  <c r="G9" i="3" l="1"/>
  <c r="F6" i="3"/>
  <c r="H9" i="3" l="1"/>
  <c r="G6" i="3"/>
  <c r="I9" i="3" l="1"/>
  <c r="H6" i="3"/>
  <c r="J9" i="3" l="1"/>
  <c r="J6" i="3" s="1"/>
  <c r="I6" i="3"/>
  <c r="F60" i="2" l="1"/>
  <c r="F65" i="2" s="1"/>
  <c r="G60" i="2"/>
  <c r="G65" i="2" s="1"/>
  <c r="E60" i="2"/>
  <c r="E65" i="2" s="1"/>
  <c r="H60" i="2"/>
  <c r="H65" i="2" s="1"/>
  <c r="D60" i="2"/>
  <c r="D65" i="2" s="1"/>
  <c r="E64" i="2" s="1"/>
  <c r="F64" i="2" l="1"/>
  <c r="G64" i="2"/>
  <c r="D67" i="2"/>
  <c r="E67" i="2" s="1"/>
  <c r="F67" i="2" s="1"/>
  <c r="G67" i="2" s="1"/>
  <c r="G68" i="2" l="1"/>
  <c r="H64" i="2"/>
  <c r="F68" i="2"/>
  <c r="D68" i="2"/>
  <c r="E68" i="2"/>
  <c r="H67" i="2" l="1"/>
  <c r="H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Hetvi Shah</author>
  </authors>
  <commentList>
    <comment ref="C5" authorId="0" shapeId="0" xr:uid="{3041D2D6-F508-45BF-9A5E-E75B39EC33E9}">
      <text>
        <r>
          <rPr>
            <b/>
            <sz val="9"/>
            <color indexed="81"/>
            <rFont val="Tahoma"/>
            <family val="2"/>
          </rPr>
          <t>not a normalized year because of external factors like shortage of oil due to the Rus-Ukr war led everyone to shift to palm-oil based alternatives. The oil surge moderated in the succeeding years</t>
        </r>
      </text>
    </comment>
    <comment ref="D43" authorId="0" shapeId="0" xr:uid="{B4ACD554-07B9-4B13-ABD2-CD622CD8409D}">
      <text>
        <r>
          <rPr>
            <b/>
            <sz val="9"/>
            <color indexed="81"/>
            <rFont val="Tahoma"/>
            <family val="2"/>
          </rPr>
          <t>increased for JNPA SEZ commencing operations from FY28</t>
        </r>
      </text>
    </comment>
    <comment ref="F43" authorId="0" shapeId="0" xr:uid="{BE22D8AD-E901-409A-A745-4D9ED5989A53}">
      <text>
        <r>
          <rPr>
            <b/>
            <sz val="9"/>
            <color indexed="81"/>
            <rFont val="Tahoma"/>
            <family val="2"/>
          </rPr>
          <t>increased for US subsidiary commencing operations from FY29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Hetvi Shah</author>
  </authors>
  <commentList>
    <comment ref="B7" authorId="0" shapeId="0" xr:uid="{46AE748A-1E3C-4F7C-B3D5-1B34CE1F5F38}">
      <text>
        <r>
          <rPr>
            <b/>
            <sz val="9"/>
            <color indexed="81"/>
            <rFont val="Tahoma"/>
            <family val="2"/>
          </rPr>
          <t>DRHP pg 53</t>
        </r>
      </text>
    </comment>
    <comment ref="B8" authorId="0" shapeId="0" xr:uid="{22D9A0FE-0110-4763-9B5A-F390EF96AF1E}">
      <text>
        <r>
          <rPr>
            <b/>
            <sz val="9"/>
            <color indexed="81"/>
            <rFont val="Tahoma"/>
            <family val="2"/>
          </rPr>
          <t>DRHP pg 53</t>
        </r>
      </text>
    </comment>
    <comment ref="B9" authorId="0" shapeId="0" xr:uid="{576E9585-34FB-4D1C-95AB-8C1A390D07E4}">
      <text>
        <r>
          <rPr>
            <b/>
            <sz val="9"/>
            <color indexed="81"/>
            <rFont val="Tahoma"/>
            <family val="2"/>
          </rPr>
          <t>DRHP pg 53</t>
        </r>
      </text>
    </comment>
    <comment ref="B10" authorId="0" shapeId="0" xr:uid="{2AF5509F-DAAA-4043-AD1C-0E943217768D}">
      <text>
        <r>
          <rPr>
            <b/>
            <sz val="9"/>
            <color indexed="81"/>
            <rFont val="Tahoma"/>
            <family val="2"/>
          </rPr>
          <t>DRHP pg 53</t>
        </r>
      </text>
    </comment>
    <comment ref="B11" authorId="0" shapeId="0" xr:uid="{4570AE3D-9D34-4269-B175-16D5A2CA4F13}">
      <text>
        <r>
          <rPr>
            <b/>
            <sz val="9"/>
            <color indexed="81"/>
            <rFont val="Tahoma"/>
            <family val="2"/>
          </rPr>
          <t>DRHP pg 53</t>
        </r>
      </text>
    </comment>
    <comment ref="B15" authorId="0" shapeId="0" xr:uid="{34337B03-6064-46D5-91DC-003732D29C8C}">
      <text>
        <r>
          <rPr>
            <b/>
            <sz val="9"/>
            <color indexed="81"/>
            <rFont val="Tahoma"/>
            <family val="2"/>
          </rPr>
          <t>DRHP pg 53</t>
        </r>
      </text>
    </comment>
    <comment ref="E30" authorId="0" shapeId="0" xr:uid="{054529CC-C845-4132-88A7-CCA20E8797C7}">
      <text>
        <r>
          <rPr>
            <b/>
            <sz val="9"/>
            <color indexed="81"/>
            <rFont val="Tahoma"/>
            <family val="2"/>
          </rPr>
          <t>consol revenue from operations as per Sept25 results</t>
        </r>
      </text>
    </comment>
    <comment ref="E39" authorId="0" shapeId="0" xr:uid="{A54693F8-4B9A-44DE-92C3-74BF798BBF8B}">
      <text>
        <r>
          <rPr>
            <b/>
            <sz val="9"/>
            <color indexed="81"/>
            <rFont val="Tahoma"/>
            <family val="2"/>
          </rPr>
          <t>other income adjusted for net forex gains from cashflow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Hetvi Shah</author>
  </authors>
  <commentList>
    <comment ref="E8" authorId="0" shapeId="0" xr:uid="{FA5A1D3C-C798-4C40-9044-182298734E62}">
      <text>
        <r>
          <rPr>
            <b/>
            <sz val="9"/>
            <color indexed="81"/>
            <rFont val="Tahoma"/>
            <family val="2"/>
          </rPr>
          <t>Annualized 6ME Sept25</t>
        </r>
      </text>
    </comment>
  </commentList>
</comments>
</file>

<file path=xl/sharedStrings.xml><?xml version="1.0" encoding="utf-8"?>
<sst xmlns="http://schemas.openxmlformats.org/spreadsheetml/2006/main" count="442" uniqueCount="247">
  <si>
    <t>Revenue</t>
  </si>
  <si>
    <t>2022-23</t>
  </si>
  <si>
    <t>2024-25</t>
  </si>
  <si>
    <t>Actuals</t>
  </si>
  <si>
    <t>2025-26</t>
  </si>
  <si>
    <t>2026-27</t>
  </si>
  <si>
    <t>2027-28</t>
  </si>
  <si>
    <t>2028-29</t>
  </si>
  <si>
    <t>2029-30</t>
  </si>
  <si>
    <t>Projected</t>
  </si>
  <si>
    <t>(INR crores)</t>
  </si>
  <si>
    <t>Utilization</t>
  </si>
  <si>
    <t>Ambernath 1</t>
  </si>
  <si>
    <t>Ambernath 2</t>
  </si>
  <si>
    <t>Ambernath 3</t>
  </si>
  <si>
    <t>Dombivli</t>
  </si>
  <si>
    <t>Badlapur</t>
  </si>
  <si>
    <t>Existing Capacity (in TPA)</t>
  </si>
  <si>
    <t>Actual Revenue</t>
  </si>
  <si>
    <t>Total Output</t>
  </si>
  <si>
    <t>Price per tonne</t>
  </si>
  <si>
    <t>2021-22</t>
  </si>
  <si>
    <t>2023-24</t>
  </si>
  <si>
    <t>Average</t>
  </si>
  <si>
    <t>JNPA SEZ investment</t>
  </si>
  <si>
    <t>Revenue - existing</t>
  </si>
  <si>
    <t>Revenue - JNPA SEZ</t>
  </si>
  <si>
    <t>Fixed assets T/o ratio</t>
  </si>
  <si>
    <t>crores</t>
  </si>
  <si>
    <t>JNPA SEZ (est. revenue)</t>
  </si>
  <si>
    <t>Total Revenue</t>
  </si>
  <si>
    <t>Estimated revenue
(for first 2 years)</t>
  </si>
  <si>
    <t>average of FY24 and FY25 being used for the first 2 years as FY24 and FY25 reflect initial operations after commissioning (Patalganga in FY22) hence the same can be used for JNPA initial years too.</t>
  </si>
  <si>
    <t>US Subsidiary - Phase 1</t>
  </si>
  <si>
    <t>already at full utilization; export projects shifting to JNPA SEZ in later years</t>
  </si>
  <si>
    <t>Revenue - US Subsidiary</t>
  </si>
  <si>
    <t>Phase 1</t>
  </si>
  <si>
    <t>Initial investment</t>
  </si>
  <si>
    <t>FA T/o (conservative side)</t>
  </si>
  <si>
    <t>(land of ~160 acres acquired)</t>
  </si>
  <si>
    <t>Estimated revenue
(FY29 onwards)</t>
  </si>
  <si>
    <t>6ME Sept25</t>
  </si>
  <si>
    <t>Cash available before all capex</t>
  </si>
  <si>
    <t>Cash available for US Subsidiary</t>
  </si>
  <si>
    <t>Assumption of further capex for US</t>
  </si>
  <si>
    <t>to be spent in stages</t>
  </si>
  <si>
    <t>as management plans to exhaust cash balance for capex</t>
  </si>
  <si>
    <t>commissioned in FY22 and hence expected to reach full potential by FY27; export projects shifting to JNPA SEZ in later years</t>
  </si>
  <si>
    <t>Cost of Materials Consumed (net)</t>
  </si>
  <si>
    <t>Selling price per tonne</t>
  </si>
  <si>
    <r>
      <t xml:space="preserve">Patalganga </t>
    </r>
    <r>
      <rPr>
        <i/>
        <sz val="11"/>
        <color theme="1"/>
        <rFont val="Calibri"/>
        <family val="2"/>
      </rPr>
      <t>(in TPA)</t>
    </r>
  </si>
  <si>
    <r>
      <t xml:space="preserve">Total output </t>
    </r>
    <r>
      <rPr>
        <i/>
        <sz val="11"/>
        <color theme="1"/>
        <rFont val="Calibri"/>
        <family val="2"/>
      </rPr>
      <t>(in TPA)</t>
    </r>
  </si>
  <si>
    <t>Average net COMC of FY21 to FY25 excluding FY23 considered</t>
  </si>
  <si>
    <t>5% increment considered</t>
  </si>
  <si>
    <t>Fixed assets</t>
  </si>
  <si>
    <t>India FA T/o assumed to be 2.03x, hence USA assumed to be on a more conservative side</t>
  </si>
  <si>
    <t>as a % to revenue</t>
  </si>
  <si>
    <t>Employee Benefit Expense</t>
  </si>
  <si>
    <t>As a % to revenue</t>
  </si>
  <si>
    <t>increase in EBE due to new facilities</t>
  </si>
  <si>
    <t>Other Expenses</t>
  </si>
  <si>
    <t>Average other expenses of FY21 to FY25 excluding FY23 considered</t>
  </si>
  <si>
    <t>EBITDA</t>
  </si>
  <si>
    <t>Other income</t>
  </si>
  <si>
    <t>Assumed constant as FY25, as all the surplus cash will be used for expansion and no further investments assumed</t>
  </si>
  <si>
    <t>Other income - FY25</t>
  </si>
  <si>
    <t>Interest income</t>
  </si>
  <si>
    <t>y-o-y growth</t>
  </si>
  <si>
    <t>Particulars</t>
  </si>
  <si>
    <t>EBITDA Margins</t>
  </si>
  <si>
    <t>Finance costs</t>
  </si>
  <si>
    <t>Depreciation</t>
  </si>
  <si>
    <t>PBT</t>
  </si>
  <si>
    <t>PBT Margins</t>
  </si>
  <si>
    <t>WORKING CAPITAL</t>
  </si>
  <si>
    <t>Net working capital</t>
  </si>
  <si>
    <t>% to revenue</t>
  </si>
  <si>
    <t>already infused in FY25</t>
  </si>
  <si>
    <t>CCE and FDs with banks</t>
  </si>
  <si>
    <t>However, since for capex, cash amounts including FDs will be spent, the interest income accruing on the same will be affected.</t>
  </si>
  <si>
    <t>CAPEX</t>
  </si>
  <si>
    <t>Maintenance capex</t>
  </si>
  <si>
    <t>Expansion capex:</t>
  </si>
  <si>
    <t>JNPA SEZ (750 crores in stages)</t>
  </si>
  <si>
    <t>US Subsidiary</t>
  </si>
  <si>
    <t>Total CAPEX</t>
  </si>
  <si>
    <t>Net block</t>
  </si>
  <si>
    <t>Gross block</t>
  </si>
  <si>
    <t>Additions</t>
  </si>
  <si>
    <t>Deletions</t>
  </si>
  <si>
    <t>Accumulated Depreciation</t>
  </si>
  <si>
    <t>Closing net block</t>
  </si>
  <si>
    <t>Average Depreciation rate</t>
  </si>
  <si>
    <t>Net Working Capital</t>
  </si>
  <si>
    <t>Average % to revenue</t>
  </si>
  <si>
    <t>10-40-30-10-10</t>
  </si>
  <si>
    <t>Source: IMARC group</t>
  </si>
  <si>
    <t>As vegetable oil constitutes the primary raw material, a 7% annual price escalation has been assumed, derived from 4.62% industry CAGR and 2% inflation adjustment.</t>
  </si>
  <si>
    <t>(existing projects shifted) operations expected to commence FY28 onwards</t>
  </si>
  <si>
    <t>(existing US projects shifted) operations expected to commence FY29 onwards</t>
  </si>
  <si>
    <t>assuming 20% of 750 crores spent in FY25; 25-25-20-10</t>
  </si>
  <si>
    <t>assumed INR 30 crores</t>
  </si>
  <si>
    <t>FINE ORGANIC INDUSTRIES LIMITED</t>
  </si>
  <si>
    <t>Consolidated P&amp;L A/c</t>
  </si>
  <si>
    <t>(INR Crores)</t>
  </si>
  <si>
    <t>9ME Dec 25</t>
  </si>
  <si>
    <t>3ME Mar26</t>
  </si>
  <si>
    <t xml:space="preserve">Actuals </t>
  </si>
  <si>
    <t>Estimated</t>
  </si>
  <si>
    <t>Revenue from Operations</t>
  </si>
  <si>
    <t>YOY growth</t>
  </si>
  <si>
    <t>Total Revenue (Net)</t>
  </si>
  <si>
    <t>% to Revenue</t>
  </si>
  <si>
    <t>Total Expenditure</t>
  </si>
  <si>
    <t>Other Income</t>
  </si>
  <si>
    <t>Interest</t>
  </si>
  <si>
    <t>Exceptional item</t>
  </si>
  <si>
    <t>share from JV</t>
  </si>
  <si>
    <t>Advertisement and publicity</t>
  </si>
  <si>
    <t>Auditor's remuneration (incl. Cost)</t>
  </si>
  <si>
    <t>Consumption of stores and spares</t>
  </si>
  <si>
    <t>CSR</t>
  </si>
  <si>
    <t>Corporate environment responsibility</t>
  </si>
  <si>
    <t>Director sitting fees</t>
  </si>
  <si>
    <t>Electricity charges</t>
  </si>
  <si>
    <t>Expected credit loss provisions</t>
  </si>
  <si>
    <t>Freight and forwarding</t>
  </si>
  <si>
    <t>Insurance</t>
  </si>
  <si>
    <t>Laboratory</t>
  </si>
  <si>
    <t>Legal and professional</t>
  </si>
  <si>
    <t>Other admin expenses</t>
  </si>
  <si>
    <t>Postage, telephone and telegram</t>
  </si>
  <si>
    <t>Power, fuel and water</t>
  </si>
  <si>
    <t>Printing and stationery</t>
  </si>
  <si>
    <t>Product registration</t>
  </si>
  <si>
    <t>Bad debts &amp; PFBD &amp; Provision for diminution in JV</t>
  </si>
  <si>
    <t>Rent, rates and taxes</t>
  </si>
  <si>
    <t>Repairs:</t>
  </si>
  <si>
    <t>-  Buildings</t>
  </si>
  <si>
    <t>-  Plant and machineries</t>
  </si>
  <si>
    <t>-  Others</t>
  </si>
  <si>
    <t>Sales promotion</t>
  </si>
  <si>
    <t>Sales commission</t>
  </si>
  <si>
    <t>Security charges</t>
  </si>
  <si>
    <t>Seminar and trade fair</t>
  </si>
  <si>
    <t>Subscription, membership, books and periodicals</t>
  </si>
  <si>
    <t>Travelling and conveyance</t>
  </si>
  <si>
    <t>Vehicle expenses</t>
  </si>
  <si>
    <t>Total Expenses</t>
  </si>
  <si>
    <t>`</t>
  </si>
  <si>
    <t>BALANCE SHEET</t>
  </si>
  <si>
    <t>2019-20</t>
  </si>
  <si>
    <t>2020-21</t>
  </si>
  <si>
    <t>6ME Sep 25</t>
  </si>
  <si>
    <t>ASSETS</t>
  </si>
  <si>
    <t>Non-Current Assets</t>
  </si>
  <si>
    <t>Property, plant and equipment</t>
  </si>
  <si>
    <t>Capital work in progress</t>
  </si>
  <si>
    <t>Intangible assets</t>
  </si>
  <si>
    <t>ROU assets</t>
  </si>
  <si>
    <t>Financial assets</t>
  </si>
  <si>
    <t>Investments</t>
  </si>
  <si>
    <t>Loans</t>
  </si>
  <si>
    <t>Other non-current financial assets</t>
  </si>
  <si>
    <t>FD with banks</t>
  </si>
  <si>
    <t>Deferred tax assets</t>
  </si>
  <si>
    <t>Other non-current assets</t>
  </si>
  <si>
    <t>includes capital advances --&gt;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</si>
  <si>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</si>
  <si>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</si>
  <si>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</si>
  <si>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</si>
  <si>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</si>
  <si>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</si>
  <si>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financial assets</t>
  </si>
  <si>
    <t>Current tax assets</t>
  </si>
  <si>
    <t>Other current assets</t>
  </si>
  <si>
    <t>Total Current Assets</t>
  </si>
  <si>
    <t>Total Assets</t>
  </si>
  <si>
    <t>EQUITY AND LIABILITIES</t>
  </si>
  <si>
    <t xml:space="preserve">Equity share capital </t>
  </si>
  <si>
    <t>Other equity</t>
  </si>
  <si>
    <t>NCI</t>
  </si>
  <si>
    <t xml:space="preserve">Total Equity </t>
  </si>
  <si>
    <t>Non-Current Liabilities</t>
  </si>
  <si>
    <t>Borrowings</t>
  </si>
  <si>
    <t>Lease liability</t>
  </si>
  <si>
    <t>Others</t>
  </si>
  <si>
    <t>Total Non-Current Liabilities</t>
  </si>
  <si>
    <t>Current Liabilities</t>
  </si>
  <si>
    <t>Trade payables</t>
  </si>
  <si>
    <t>Other current financial liability</t>
  </si>
  <si>
    <t>Current maturities of long term borrowings</t>
  </si>
  <si>
    <t>Other current liabilities</t>
  </si>
  <si>
    <t>Provisions</t>
  </si>
  <si>
    <t>Current tax liabilities</t>
  </si>
  <si>
    <t>Total Current Liabilities</t>
  </si>
  <si>
    <t>Total Equity + Liabilities</t>
  </si>
  <si>
    <t>EXHIBIT A: CALCULATION OF WORKING CAPITAL</t>
  </si>
  <si>
    <t xml:space="preserve">Current assets, loans &amp; advances </t>
  </si>
  <si>
    <t>prepaid expenses, balances with govt, gratuity fund, advances to others and suppliers</t>
  </si>
  <si>
    <t>excluding capital advances</t>
  </si>
  <si>
    <t>Other current tax assets</t>
  </si>
  <si>
    <t xml:space="preserve">Short term loans and advances </t>
  </si>
  <si>
    <t xml:space="preserve">Long term loans and advances </t>
  </si>
  <si>
    <t>(A)</t>
  </si>
  <si>
    <t xml:space="preserve">Less: Current liabilities &amp; provisions </t>
  </si>
  <si>
    <t>Other non-current liabilities</t>
  </si>
  <si>
    <t>Other current financial liabilities</t>
  </si>
  <si>
    <t>Other non-current financial liabilities</t>
  </si>
  <si>
    <t>Other current tax liabilities</t>
  </si>
  <si>
    <t>Short-term provisions</t>
  </si>
  <si>
    <t>Long-term provisions</t>
  </si>
  <si>
    <t>(B)</t>
  </si>
  <si>
    <t>Net working capital (A-B)</t>
  </si>
  <si>
    <t xml:space="preserve">Incremental working capital </t>
  </si>
  <si>
    <t>Net Sales</t>
  </si>
  <si>
    <t>% to Sales</t>
  </si>
  <si>
    <t>Working capital days</t>
  </si>
  <si>
    <t>Inventory T/o. Ratio</t>
  </si>
  <si>
    <t>(no of days)</t>
  </si>
  <si>
    <t>(Days)</t>
  </si>
  <si>
    <t>Year</t>
  </si>
  <si>
    <t>Inventory T/o ratio</t>
  </si>
  <si>
    <t>Debtor T/o ratio</t>
  </si>
  <si>
    <t>Creditor T/o ratio</t>
  </si>
  <si>
    <t xml:space="preserve">Inventory </t>
  </si>
  <si>
    <t>Cost of material consumed</t>
  </si>
  <si>
    <t>Turnover Ratio (Days)</t>
  </si>
  <si>
    <t>Fixed Assets T/o. Ratio</t>
  </si>
  <si>
    <t>Fixed Assets</t>
  </si>
  <si>
    <t>Sales</t>
  </si>
  <si>
    <t>Turnover Ratio</t>
  </si>
  <si>
    <t>Debtor T/o. Ratio</t>
  </si>
  <si>
    <t>Debtors</t>
  </si>
  <si>
    <t>Sales (Net)</t>
  </si>
  <si>
    <t>Creditors T/o. Ratio</t>
  </si>
  <si>
    <t xml:space="preserve">Creditors </t>
  </si>
  <si>
    <t>Total Expense</t>
  </si>
  <si>
    <t>Debt-Equity Ratio</t>
  </si>
  <si>
    <t xml:space="preserve">Debt </t>
  </si>
  <si>
    <t>Equity</t>
  </si>
  <si>
    <t>Debt - Equity Ratio</t>
  </si>
  <si>
    <t>Cost of Debt</t>
  </si>
  <si>
    <t>Interest cost</t>
  </si>
  <si>
    <t>Debt</t>
  </si>
  <si>
    <t>Cost of Debt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</si>
</sst>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\x_ ;_ * \-#,##0.00_ ;_ * &quot;-&quot;??_ ;_ @_ "/>
    <numFmt numFmtId="165" formatCode="_ * #,##0_ ;_ * \-#,##0_ ;_ * &quot;-&quot;??_ ;_ @_ "/>
    <numFmt numFmtId="166" formatCode="_(* #,##0.00_);_(* \(#,##0.00\);_(* &quot;-&quot;??_);_(@_)"/>
  </numFmts>
  <fonts count="18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b/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i/>
      <sz val="11"/>
      <color rgb="FFFF0000"/>
      <name val="Calibri"/>
      <family val="2"/>
    </font>
    <font>
      <i/>
      <sz val="11"/>
      <color rgb="FF0070C0"/>
      <name val="Calibri"/>
      <family val="2"/>
    </font>
    <font>
      <i/>
      <sz val="11"/>
      <name val="Calibri"/>
      <family val="2"/>
    </font>
    <font>
      <sz val="11"/>
      <color theme="4" tint="-0.249977111117893"/>
      <name val="Calibri"/>
      <family val="2"/>
    </font>
    <font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8" fillId="2" borderId="1" xfId="1" applyFont="1" applyFill="1" applyBorder="1" applyAlignment="1">
      <alignment horizontal="center" vertical="center" wrapText="1"/>
    </xf>
    <xf numFmtId="43" fontId="9" fillId="0" borderId="2" xfId="1" applyFont="1" applyFill="1" applyBorder="1" applyAlignment="1">
      <alignment horizontal="center" vertical="center" wrapText="1"/>
    </xf>
    <xf numFmtId="43" fontId="9" fillId="0" borderId="2" xfId="1" applyFont="1" applyFill="1" applyBorder="1" applyAlignment="1">
      <alignment vertical="center"/>
    </xf>
    <xf numFmtId="43" fontId="9" fillId="0" borderId="3" xfId="1" applyFont="1" applyFill="1" applyBorder="1" applyAlignment="1">
      <alignment horizontal="center" vertical="center" wrapText="1"/>
    </xf>
    <xf numFmtId="0" fontId="2" fillId="0" borderId="1" xfId="0" applyFont="1" applyBorder="1"/>
    <xf numFmtId="43" fontId="2" fillId="0" borderId="1" xfId="1" applyFont="1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43" fontId="5" fillId="0" borderId="1" xfId="1" applyFont="1" applyBorder="1" applyAlignment="1">
      <alignment vertical="center"/>
    </xf>
    <xf numFmtId="43" fontId="10" fillId="0" borderId="1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10" fontId="0" fillId="0" borderId="0" xfId="0" applyNumberFormat="1" applyAlignment="1">
      <alignment vertical="center"/>
    </xf>
    <xf numFmtId="165" fontId="9" fillId="0" borderId="2" xfId="1" applyNumberFormat="1" applyFont="1" applyFill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43" fontId="5" fillId="0" borderId="4" xfId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0" fontId="2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43" fontId="0" fillId="0" borderId="7" xfId="1" applyFont="1" applyBorder="1" applyAlignment="1">
      <alignment vertical="center"/>
    </xf>
    <xf numFmtId="0" fontId="0" fillId="0" borderId="8" xfId="0" applyBorder="1" applyAlignment="1">
      <alignment vertical="center"/>
    </xf>
    <xf numFmtId="43" fontId="0" fillId="0" borderId="8" xfId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43" fontId="2" fillId="0" borderId="9" xfId="1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0" xfId="1" applyFont="1" applyBorder="1" applyAlignment="1">
      <alignment vertical="center"/>
    </xf>
    <xf numFmtId="0" fontId="3" fillId="0" borderId="3" xfId="0" applyFont="1" applyBorder="1"/>
    <xf numFmtId="0" fontId="0" fillId="0" borderId="3" xfId="0" applyBorder="1"/>
    <xf numFmtId="0" fontId="6" fillId="0" borderId="2" xfId="0" applyFont="1" applyBorder="1"/>
    <xf numFmtId="3" fontId="0" fillId="0" borderId="2" xfId="0" applyNumberFormat="1" applyBorder="1"/>
    <xf numFmtId="3" fontId="0" fillId="0" borderId="3" xfId="0" applyNumberFormat="1" applyBorder="1"/>
    <xf numFmtId="9" fontId="0" fillId="0" borderId="2" xfId="0" applyNumberFormat="1" applyBorder="1"/>
    <xf numFmtId="0" fontId="2" fillId="0" borderId="2" xfId="0" applyFont="1" applyBorder="1"/>
    <xf numFmtId="43" fontId="2" fillId="0" borderId="2" xfId="0" applyNumberFormat="1" applyFont="1" applyBorder="1"/>
    <xf numFmtId="43" fontId="0" fillId="0" borderId="2" xfId="0" applyNumberFormat="1" applyBorder="1"/>
    <xf numFmtId="9" fontId="0" fillId="3" borderId="2" xfId="0" applyNumberFormat="1" applyFill="1" applyBorder="1"/>
    <xf numFmtId="0" fontId="13" fillId="0" borderId="2" xfId="0" applyFont="1" applyBorder="1"/>
    <xf numFmtId="43" fontId="2" fillId="0" borderId="2" xfId="1" applyFont="1" applyBorder="1"/>
    <xf numFmtId="10" fontId="13" fillId="0" borderId="2" xfId="2" applyNumberFormat="1" applyFont="1" applyBorder="1"/>
    <xf numFmtId="43" fontId="0" fillId="0" borderId="2" xfId="1" applyFont="1" applyBorder="1"/>
    <xf numFmtId="0" fontId="14" fillId="0" borderId="2" xfId="0" applyFont="1" applyBorder="1"/>
    <xf numFmtId="10" fontId="14" fillId="0" borderId="2" xfId="2" applyNumberFormat="1" applyFont="1" applyBorder="1"/>
    <xf numFmtId="0" fontId="0" fillId="4" borderId="3" xfId="0" applyFill="1" applyBorder="1"/>
    <xf numFmtId="0" fontId="0" fillId="4" borderId="2" xfId="0" applyFill="1" applyBorder="1"/>
    <xf numFmtId="3" fontId="0" fillId="4" borderId="2" xfId="0" applyNumberFormat="1" applyFill="1" applyBorder="1"/>
    <xf numFmtId="3" fontId="0" fillId="4" borderId="3" xfId="0" applyNumberFormat="1" applyFill="1" applyBorder="1"/>
    <xf numFmtId="9" fontId="0" fillId="4" borderId="2" xfId="0" applyNumberFormat="1" applyFill="1" applyBorder="1"/>
    <xf numFmtId="0" fontId="2" fillId="4" borderId="2" xfId="0" applyFont="1" applyFill="1" applyBorder="1"/>
    <xf numFmtId="43" fontId="2" fillId="4" borderId="1" xfId="1" applyFont="1" applyFill="1" applyBorder="1"/>
    <xf numFmtId="43" fontId="2" fillId="4" borderId="2" xfId="1" applyFont="1" applyFill="1" applyBorder="1"/>
    <xf numFmtId="43" fontId="0" fillId="4" borderId="2" xfId="1" applyFont="1" applyFill="1" applyBorder="1"/>
    <xf numFmtId="10" fontId="14" fillId="4" borderId="2" xfId="2" applyNumberFormat="1" applyFont="1" applyFill="1" applyBorder="1"/>
    <xf numFmtId="0" fontId="14" fillId="0" borderId="4" xfId="0" applyFont="1" applyBorder="1"/>
    <xf numFmtId="10" fontId="14" fillId="0" borderId="4" xfId="2" applyNumberFormat="1" applyFont="1" applyBorder="1"/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0" fillId="0" borderId="3" xfId="0" applyBorder="1" applyAlignment="1">
      <alignment vertical="center"/>
    </xf>
    <xf numFmtId="43" fontId="0" fillId="0" borderId="2" xfId="0" applyNumberFormat="1" applyBorder="1" applyAlignment="1">
      <alignment vertical="center"/>
    </xf>
    <xf numFmtId="43" fontId="0" fillId="0" borderId="4" xfId="0" applyNumberFormat="1" applyBorder="1" applyAlignment="1">
      <alignment vertical="center"/>
    </xf>
    <xf numFmtId="0" fontId="6" fillId="0" borderId="2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9" fontId="0" fillId="0" borderId="0" xfId="2" applyFont="1" applyAlignment="1">
      <alignment vertical="center"/>
    </xf>
    <xf numFmtId="0" fontId="14" fillId="0" borderId="0" xfId="0" applyFont="1"/>
    <xf numFmtId="10" fontId="14" fillId="0" borderId="1" xfId="2" applyNumberFormat="1" applyFont="1" applyBorder="1"/>
    <xf numFmtId="43" fontId="0" fillId="0" borderId="3" xfId="0" applyNumberFormat="1" applyBorder="1" applyAlignment="1">
      <alignment vertical="center"/>
    </xf>
    <xf numFmtId="0" fontId="2" fillId="0" borderId="5" xfId="0" applyFont="1" applyBorder="1" applyAlignment="1">
      <alignment vertical="center"/>
    </xf>
    <xf numFmtId="17" fontId="2" fillId="2" borderId="1" xfId="0" applyNumberFormat="1" applyFont="1" applyFill="1" applyBorder="1" applyAlignment="1">
      <alignment horizontal="center" vertical="center"/>
    </xf>
    <xf numFmtId="43" fontId="0" fillId="0" borderId="2" xfId="1" applyFont="1" applyFill="1" applyBorder="1"/>
    <xf numFmtId="0" fontId="13" fillId="0" borderId="0" xfId="0" applyFont="1"/>
    <xf numFmtId="10" fontId="15" fillId="0" borderId="4" xfId="0" applyNumberFormat="1" applyFont="1" applyBorder="1"/>
    <xf numFmtId="0" fontId="1" fillId="0" borderId="0" xfId="3"/>
    <xf numFmtId="0" fontId="2" fillId="2" borderId="1" xfId="3" applyFont="1" applyFill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0" xfId="3" applyFont="1"/>
    <xf numFmtId="0" fontId="4" fillId="0" borderId="0" xfId="3" applyFont="1"/>
    <xf numFmtId="0" fontId="2" fillId="0" borderId="0" xfId="3" applyFont="1" applyAlignment="1">
      <alignment horizontal="right"/>
    </xf>
    <xf numFmtId="0" fontId="2" fillId="2" borderId="1" xfId="3" applyFont="1" applyFill="1" applyBorder="1" applyAlignment="1">
      <alignment horizontal="center"/>
    </xf>
    <xf numFmtId="17" fontId="2" fillId="2" borderId="1" xfId="3" applyNumberFormat="1" applyFont="1" applyFill="1" applyBorder="1" applyAlignment="1">
      <alignment horizontal="center"/>
    </xf>
    <xf numFmtId="0" fontId="2" fillId="0" borderId="2" xfId="3" applyFont="1" applyBorder="1"/>
    <xf numFmtId="166" fontId="2" fillId="0" borderId="2" xfId="3" applyNumberFormat="1" applyFont="1" applyBorder="1" applyAlignment="1">
      <alignment horizontal="center"/>
    </xf>
    <xf numFmtId="0" fontId="4" fillId="0" borderId="2" xfId="3" applyFont="1" applyBorder="1"/>
    <xf numFmtId="166" fontId="4" fillId="0" borderId="2" xfId="4" applyNumberFormat="1" applyFont="1" applyBorder="1"/>
    <xf numFmtId="166" fontId="4" fillId="0" borderId="4" xfId="4" applyNumberFormat="1" applyFont="1" applyBorder="1"/>
    <xf numFmtId="0" fontId="2" fillId="0" borderId="1" xfId="3" applyFont="1" applyBorder="1" applyAlignment="1">
      <alignment horizontal="center"/>
    </xf>
    <xf numFmtId="166" fontId="2" fillId="0" borderId="1" xfId="4" applyNumberFormat="1" applyFont="1" applyBorder="1"/>
    <xf numFmtId="0" fontId="2" fillId="0" borderId="1" xfId="3" applyFont="1" applyBorder="1"/>
    <xf numFmtId="0" fontId="2" fillId="0" borderId="4" xfId="3" applyFont="1" applyBorder="1"/>
    <xf numFmtId="166" fontId="2" fillId="0" borderId="4" xfId="4" applyNumberFormat="1" applyFont="1" applyBorder="1"/>
    <xf numFmtId="0" fontId="6" fillId="0" borderId="0" xfId="3" applyFont="1"/>
    <xf numFmtId="166" fontId="6" fillId="0" borderId="0" xfId="4" applyNumberFormat="1" applyFont="1" applyBorder="1"/>
    <xf numFmtId="10" fontId="6" fillId="0" borderId="0" xfId="5" applyNumberFormat="1" applyFont="1"/>
    <xf numFmtId="0" fontId="8" fillId="2" borderId="1" xfId="4" applyNumberFormat="1" applyFont="1" applyFill="1" applyBorder="1" applyAlignment="1">
      <alignment horizontal="center"/>
    </xf>
    <xf numFmtId="0" fontId="4" fillId="0" borderId="3" xfId="3" applyFont="1" applyBorder="1"/>
    <xf numFmtId="43" fontId="4" fillId="0" borderId="2" xfId="4" applyFont="1" applyBorder="1"/>
    <xf numFmtId="43" fontId="4" fillId="5" borderId="2" xfId="4" applyFont="1" applyFill="1" applyBorder="1"/>
    <xf numFmtId="0" fontId="13" fillId="0" borderId="2" xfId="3" applyFont="1" applyBorder="1"/>
    <xf numFmtId="10" fontId="13" fillId="0" borderId="2" xfId="5" applyNumberFormat="1" applyFont="1" applyBorder="1"/>
    <xf numFmtId="10" fontId="13" fillId="0" borderId="2" xfId="5" applyNumberFormat="1" applyFont="1" applyFill="1" applyBorder="1"/>
    <xf numFmtId="10" fontId="13" fillId="5" borderId="2" xfId="5" applyNumberFormat="1" applyFont="1" applyFill="1" applyBorder="1"/>
    <xf numFmtId="0" fontId="5" fillId="0" borderId="2" xfId="3" applyFont="1" applyBorder="1"/>
    <xf numFmtId="10" fontId="5" fillId="0" borderId="2" xfId="5" applyNumberFormat="1" applyFont="1" applyBorder="1"/>
    <xf numFmtId="43" fontId="2" fillId="0" borderId="1" xfId="3" applyNumberFormat="1" applyFont="1" applyBorder="1"/>
    <xf numFmtId="43" fontId="2" fillId="0" borderId="2" xfId="3" applyNumberFormat="1" applyFont="1" applyBorder="1"/>
    <xf numFmtId="0" fontId="5" fillId="0" borderId="0" xfId="3" applyFont="1"/>
    <xf numFmtId="0" fontId="14" fillId="0" borderId="2" xfId="3" applyFont="1" applyBorder="1"/>
    <xf numFmtId="10" fontId="14" fillId="0" borderId="2" xfId="5" applyNumberFormat="1" applyFont="1" applyBorder="1"/>
    <xf numFmtId="10" fontId="14" fillId="0" borderId="2" xfId="5" applyNumberFormat="1" applyFont="1" applyFill="1" applyBorder="1"/>
    <xf numFmtId="0" fontId="16" fillId="0" borderId="2" xfId="3" applyFont="1" applyBorder="1"/>
    <xf numFmtId="10" fontId="16" fillId="0" borderId="2" xfId="5" applyNumberFormat="1" applyFont="1" applyBorder="1"/>
    <xf numFmtId="43" fontId="4" fillId="0" borderId="2" xfId="3" applyNumberFormat="1" applyFont="1" applyBorder="1"/>
    <xf numFmtId="10" fontId="4" fillId="0" borderId="0" xfId="3" applyNumberFormat="1" applyFont="1"/>
    <xf numFmtId="43" fontId="8" fillId="0" borderId="1" xfId="5" applyNumberFormat="1" applyFont="1" applyBorder="1"/>
    <xf numFmtId="43" fontId="8" fillId="5" borderId="1" xfId="5" applyNumberFormat="1" applyFont="1" applyFill="1" applyBorder="1"/>
    <xf numFmtId="9" fontId="2" fillId="0" borderId="0" xfId="5" applyFont="1" applyFill="1" applyBorder="1"/>
    <xf numFmtId="0" fontId="14" fillId="0" borderId="0" xfId="3" applyFont="1"/>
    <xf numFmtId="10" fontId="14" fillId="0" borderId="0" xfId="5" applyNumberFormat="1" applyFont="1" applyBorder="1"/>
    <xf numFmtId="10" fontId="14" fillId="0" borderId="0" xfId="5" applyNumberFormat="1" applyFont="1" applyFill="1" applyBorder="1"/>
    <xf numFmtId="0" fontId="9" fillId="0" borderId="2" xfId="3" applyFont="1" applyBorder="1"/>
    <xf numFmtId="43" fontId="9" fillId="0" borderId="2" xfId="4" applyFont="1" applyBorder="1"/>
    <xf numFmtId="43" fontId="9" fillId="5" borderId="2" xfId="4" applyFont="1" applyFill="1" applyBorder="1"/>
    <xf numFmtId="43" fontId="4" fillId="0" borderId="2" xfId="4" applyFont="1" applyFill="1" applyBorder="1"/>
    <xf numFmtId="10" fontId="14" fillId="5" borderId="0" xfId="5" applyNumberFormat="1" applyFont="1" applyFill="1" applyBorder="1"/>
    <xf numFmtId="43" fontId="4" fillId="0" borderId="0" xfId="4" applyFont="1"/>
    <xf numFmtId="43" fontId="4" fillId="0" borderId="0" xfId="3" applyNumberFormat="1" applyFont="1"/>
    <xf numFmtId="9" fontId="4" fillId="0" borderId="0" xfId="5" applyFont="1"/>
    <xf numFmtId="0" fontId="2" fillId="0" borderId="2" xfId="3" applyFont="1" applyBorder="1" applyAlignment="1">
      <alignment horizontal="center"/>
    </xf>
    <xf numFmtId="0" fontId="4" fillId="0" borderId="2" xfId="3" applyFont="1" applyBorder="1" applyAlignment="1">
      <alignment horizontal="left"/>
    </xf>
    <xf numFmtId="10" fontId="14" fillId="6" borderId="2" xfId="5" applyNumberFormat="1" applyFont="1" applyFill="1" applyBorder="1"/>
    <xf numFmtId="43" fontId="2" fillId="0" borderId="1" xfId="4" applyFont="1" applyBorder="1"/>
    <xf numFmtId="43" fontId="4" fillId="0" borderId="2" xfId="4" applyFont="1" applyBorder="1" applyAlignment="1">
      <alignment horizontal="center" vertical="center"/>
    </xf>
    <xf numFmtId="43" fontId="4" fillId="0" borderId="2" xfId="4" applyFont="1" applyFill="1" applyBorder="1" applyAlignment="1">
      <alignment horizontal="center" vertical="center"/>
    </xf>
    <xf numFmtId="0" fontId="13" fillId="0" borderId="0" xfId="3" applyFont="1"/>
    <xf numFmtId="0" fontId="6" fillId="0" borderId="2" xfId="3" applyFont="1" applyBorder="1" applyAlignment="1">
      <alignment horizontal="left" indent="1"/>
    </xf>
    <xf numFmtId="43" fontId="4" fillId="0" borderId="1" xfId="4" applyFont="1" applyBorder="1"/>
    <xf numFmtId="43" fontId="2" fillId="0" borderId="1" xfId="4" applyFont="1" applyBorder="1" applyAlignment="1">
      <alignment horizontal="center" vertical="center"/>
    </xf>
    <xf numFmtId="9" fontId="2" fillId="0" borderId="1" xfId="5" applyFont="1" applyFill="1" applyBorder="1" applyAlignment="1">
      <alignment horizontal="center" vertical="center"/>
    </xf>
    <xf numFmtId="43" fontId="2" fillId="0" borderId="2" xfId="3" applyNumberFormat="1" applyFont="1" applyBorder="1" applyAlignment="1">
      <alignment horizontal="center" vertical="center"/>
    </xf>
    <xf numFmtId="43" fontId="2" fillId="0" borderId="1" xfId="3" applyNumberFormat="1" applyFont="1" applyBorder="1" applyAlignment="1">
      <alignment horizontal="center" vertical="center"/>
    </xf>
    <xf numFmtId="0" fontId="4" fillId="0" borderId="1" xfId="3" applyFont="1" applyBorder="1"/>
    <xf numFmtId="0" fontId="6" fillId="0" borderId="3" xfId="3" applyFont="1" applyBorder="1"/>
    <xf numFmtId="165" fontId="2" fillId="0" borderId="1" xfId="4" applyNumberFormat="1" applyFont="1" applyBorder="1"/>
    <xf numFmtId="0" fontId="2" fillId="0" borderId="11" xfId="3" applyFont="1" applyBorder="1"/>
    <xf numFmtId="0" fontId="16" fillId="0" borderId="0" xfId="3" applyFont="1" applyAlignment="1">
      <alignment vertical="center"/>
    </xf>
    <xf numFmtId="10" fontId="16" fillId="0" borderId="0" xfId="5" applyNumberFormat="1" applyFont="1" applyFill="1" applyBorder="1" applyAlignment="1">
      <alignment vertical="center"/>
    </xf>
    <xf numFmtId="0" fontId="8" fillId="2" borderId="1" xfId="3" applyFont="1" applyFill="1" applyBorder="1" applyAlignment="1">
      <alignment horizontal="center" vertical="center"/>
    </xf>
    <xf numFmtId="43" fontId="8" fillId="2" borderId="1" xfId="4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9" fillId="0" borderId="2" xfId="3" applyFont="1" applyBorder="1" applyAlignment="1">
      <alignment horizontal="left" vertical="center"/>
    </xf>
    <xf numFmtId="43" fontId="9" fillId="0" borderId="2" xfId="4" applyFont="1" applyFill="1" applyBorder="1" applyAlignment="1">
      <alignment horizontal="center" vertical="center" wrapText="1"/>
    </xf>
    <xf numFmtId="43" fontId="8" fillId="0" borderId="3" xfId="4" applyFont="1" applyFill="1" applyBorder="1" applyAlignment="1">
      <alignment horizontal="center" vertical="center" wrapText="1"/>
    </xf>
    <xf numFmtId="2" fontId="4" fillId="0" borderId="3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/>
    </xf>
    <xf numFmtId="0" fontId="9" fillId="0" borderId="2" xfId="3" applyFont="1" applyBorder="1" applyAlignment="1">
      <alignment vertical="center"/>
    </xf>
    <xf numFmtId="43" fontId="9" fillId="0" borderId="2" xfId="4" applyFont="1" applyFill="1" applyBorder="1" applyAlignment="1">
      <alignment vertical="center"/>
    </xf>
    <xf numFmtId="43" fontId="8" fillId="0" borderId="2" xfId="4" applyFont="1" applyFill="1" applyBorder="1" applyAlignment="1">
      <alignment horizontal="center" vertical="center" wrapText="1"/>
    </xf>
    <xf numFmtId="2" fontId="4" fillId="0" borderId="2" xfId="3" applyNumberFormat="1" applyFont="1" applyBorder="1" applyAlignment="1">
      <alignment horizontal="center"/>
    </xf>
    <xf numFmtId="1" fontId="4" fillId="0" borderId="2" xfId="3" applyNumberFormat="1" applyFont="1" applyBorder="1" applyAlignment="1">
      <alignment horizontal="center"/>
    </xf>
    <xf numFmtId="0" fontId="10" fillId="0" borderId="1" xfId="3" applyFont="1" applyBorder="1"/>
    <xf numFmtId="165" fontId="10" fillId="0" borderId="1" xfId="4" applyNumberFormat="1" applyFont="1" applyBorder="1"/>
    <xf numFmtId="43" fontId="8" fillId="0" borderId="4" xfId="4" applyFont="1" applyFill="1" applyBorder="1" applyAlignment="1">
      <alignment horizontal="center" vertical="center" wrapText="1"/>
    </xf>
    <xf numFmtId="2" fontId="4" fillId="0" borderId="4" xfId="3" applyNumberFormat="1" applyFont="1" applyBorder="1" applyAlignment="1">
      <alignment horizontal="center"/>
    </xf>
    <xf numFmtId="1" fontId="4" fillId="0" borderId="4" xfId="3" applyNumberFormat="1" applyFont="1" applyBorder="1" applyAlignment="1">
      <alignment horizontal="center"/>
    </xf>
    <xf numFmtId="43" fontId="10" fillId="0" borderId="1" xfId="4" applyFont="1" applyBorder="1"/>
    <xf numFmtId="0" fontId="10" fillId="0" borderId="0" xfId="3" applyFont="1"/>
    <xf numFmtId="165" fontId="10" fillId="0" borderId="0" xfId="4" applyNumberFormat="1" applyFont="1" applyBorder="1"/>
    <xf numFmtId="0" fontId="9" fillId="0" borderId="2" xfId="3" applyFont="1" applyBorder="1" applyAlignment="1">
      <alignment vertical="center" wrapText="1"/>
    </xf>
    <xf numFmtId="43" fontId="4" fillId="0" borderId="3" xfId="3" applyNumberFormat="1" applyFont="1" applyBorder="1"/>
    <xf numFmtId="0" fontId="4" fillId="0" borderId="4" xfId="3" applyFont="1" applyBorder="1"/>
    <xf numFmtId="43" fontId="4" fillId="0" borderId="4" xfId="3" applyNumberFormat="1" applyFont="1" applyBorder="1"/>
    <xf numFmtId="43" fontId="10" fillId="0" borderId="1" xfId="4" applyFont="1" applyFill="1" applyBorder="1"/>
    <xf numFmtId="9" fontId="10" fillId="0" borderId="1" xfId="5" applyFont="1" applyBorder="1"/>
    <xf numFmtId="0" fontId="2" fillId="7" borderId="3" xfId="3" applyFont="1" applyFill="1" applyBorder="1" applyAlignment="1">
      <alignment horizontal="center" vertical="center"/>
    </xf>
    <xf numFmtId="43" fontId="4" fillId="7" borderId="2" xfId="4" applyFont="1" applyFill="1" applyBorder="1"/>
    <xf numFmtId="10" fontId="13" fillId="7" borderId="2" xfId="5" applyNumberFormat="1" applyFont="1" applyFill="1" applyBorder="1"/>
    <xf numFmtId="10" fontId="5" fillId="7" borderId="2" xfId="5" applyNumberFormat="1" applyFont="1" applyFill="1" applyBorder="1"/>
    <xf numFmtId="43" fontId="2" fillId="7" borderId="1" xfId="3" applyNumberFormat="1" applyFont="1" applyFill="1" applyBorder="1"/>
    <xf numFmtId="43" fontId="2" fillId="7" borderId="2" xfId="3" applyNumberFormat="1" applyFont="1" applyFill="1" applyBorder="1"/>
    <xf numFmtId="10" fontId="14" fillId="7" borderId="2" xfId="5" applyNumberFormat="1" applyFont="1" applyFill="1" applyBorder="1"/>
    <xf numFmtId="10" fontId="16" fillId="7" borderId="2" xfId="5" applyNumberFormat="1" applyFont="1" applyFill="1" applyBorder="1"/>
    <xf numFmtId="43" fontId="4" fillId="7" borderId="2" xfId="3" applyNumberFormat="1" applyFont="1" applyFill="1" applyBorder="1"/>
    <xf numFmtId="43" fontId="8" fillId="7" borderId="1" xfId="5" applyNumberFormat="1" applyFont="1" applyFill="1" applyBorder="1"/>
    <xf numFmtId="0" fontId="17" fillId="0" borderId="2" xfId="3" applyFont="1" applyBorder="1"/>
    <xf numFmtId="0" fontId="2" fillId="2" borderId="3" xfId="3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6" xfId="3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0" fontId="0" fillId="0" borderId="0" xfId="1" applyNumberFormat="1" applyFont="1" applyAlignment="1">
      <alignment vertical="center"/>
    </xf>
  </cellXfs>
  <cellStyles count="6">
    <cellStyle name="Comma" xfId="1" builtinId="3"/>
    <cellStyle name="Comma 3" xfId="4" xr:uid="{744FD8A1-EAC8-46AC-9D80-95AEBE77C6D4}"/>
    <cellStyle name="Normal" xfId="0" builtinId="0"/>
    <cellStyle name="Normal 2" xfId="3" xr:uid="{9D038E54-CC07-480F-AFC4-82BE401E3DEA}"/>
    <cellStyle name="Percent" xfId="2" builtinId="5"/>
    <cellStyle name="Percent 2" xfId="5" xr:uid="{2C932422-BD63-4197-BC1E-9A24E981A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</xdr:row>
      <xdr:rowOff>0</xdr:rowOff>
    </xdr:from>
    <xdr:to>
      <xdr:col>6</xdr:col>
      <xdr:colOff>618263</xdr:colOff>
      <xdr:row>15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E7C66C-A18E-4267-9331-63892D842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289050"/>
          <a:ext cx="588876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FF4E88-5CBE-47DF-9B8E-80E039ED14B0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b4xQcqjHRbjnZiUw-Qmn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C940-87FF-432F-AC3F-D4BF432D8C90}">
  <sheetPr>
    <tabColor theme="5" tint="0.59999389629810485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F068-A9BD-4F23-8E82-20F7887D8E19}">
  <dimension ref="A1:Y37"/>
  <sheetViews>
    <sheetView showGridLines="0" tabSelected="1" zoomScaleNormal="100" workbookViewId="0">
      <pane xSplit="1" ySplit="4" topLeftCell="B5" activePane="bottomRight" state="frozen"/>
      <selection activeCell="I7" sqref="I7"/>
      <selection pane="topRight" activeCell="I7" sqref="I7"/>
      <selection pane="bottomLeft" activeCell="I7" sqref="I7"/>
      <selection pane="bottomRight" activeCell="B5" sqref="B5"/>
    </sheetView>
  </sheetViews>
  <sheetFormatPr defaultColWidth="9.21875" defaultRowHeight="14.4" x14ac:dyDescent="0.3"/>
  <cols>
    <col min="1" max="1" width="31.6640625" style="95" bestFit="1" customWidth="1"/>
    <col min="2" max="2" width="9" style="95" bestFit="1" customWidth="1"/>
    <col min="3" max="7" width="11.44140625" style="95" customWidth="1"/>
    <col min="8" max="8" width="10.88671875" style="95" bestFit="1" customWidth="1"/>
    <col min="9" max="9" width="10.44140625" style="95" bestFit="1" customWidth="1"/>
    <col min="10" max="14" width="8.88671875" style="95" bestFit="1" customWidth="1"/>
    <col min="15" max="15" width="12.6640625" style="95" bestFit="1" customWidth="1"/>
    <col min="16" max="16384" width="9.21875" style="95"/>
  </cols>
  <sheetData>
    <row r="1" spans="1:25" x14ac:dyDescent="0.3">
      <c r="A1" s="94" t="s">
        <v>102</v>
      </c>
      <c r="B1" s="94"/>
      <c r="C1" s="94"/>
      <c r="D1" s="94"/>
    </row>
    <row r="2" spans="1:25" x14ac:dyDescent="0.3">
      <c r="A2" s="94" t="s">
        <v>103</v>
      </c>
      <c r="B2" s="94"/>
      <c r="C2" s="94"/>
      <c r="D2" s="94"/>
    </row>
    <row r="3" spans="1:25" x14ac:dyDescent="0.3">
      <c r="J3" s="96"/>
      <c r="K3" s="96"/>
      <c r="L3" s="96"/>
      <c r="M3" s="96"/>
      <c r="N3" s="96" t="s">
        <v>104</v>
      </c>
    </row>
    <row r="4" spans="1:25" x14ac:dyDescent="0.3">
      <c r="A4" s="203" t="s">
        <v>68</v>
      </c>
      <c r="B4" s="92" t="str">
        <f>BS!B4</f>
        <v>2019-20</v>
      </c>
      <c r="C4" s="92" t="str">
        <f>BS!C4</f>
        <v>2020-21</v>
      </c>
      <c r="D4" s="92" t="str">
        <f>BS!D4</f>
        <v>2021-22</v>
      </c>
      <c r="E4" s="92" t="str">
        <f>BS!E4</f>
        <v>2022-23</v>
      </c>
      <c r="F4" s="92" t="str">
        <f>BS!F4</f>
        <v>2023-24</v>
      </c>
      <c r="G4" s="92" t="str">
        <f>BS!G4</f>
        <v>2024-25</v>
      </c>
      <c r="H4" s="112" t="s">
        <v>105</v>
      </c>
      <c r="I4" s="112" t="s">
        <v>106</v>
      </c>
      <c r="J4" s="92" t="s">
        <v>4</v>
      </c>
      <c r="K4" s="92" t="s">
        <v>5</v>
      </c>
      <c r="L4" s="92" t="s">
        <v>6</v>
      </c>
      <c r="M4" s="92" t="s">
        <v>7</v>
      </c>
      <c r="N4" s="92" t="s">
        <v>8</v>
      </c>
    </row>
    <row r="5" spans="1:25" x14ac:dyDescent="0.3">
      <c r="A5" s="204"/>
      <c r="B5" s="92" t="s">
        <v>3</v>
      </c>
      <c r="C5" s="92" t="s">
        <v>3</v>
      </c>
      <c r="D5" s="92" t="s">
        <v>3</v>
      </c>
      <c r="E5" s="92" t="s">
        <v>3</v>
      </c>
      <c r="F5" s="92" t="s">
        <v>3</v>
      </c>
      <c r="G5" s="92" t="s">
        <v>3</v>
      </c>
      <c r="H5" s="112" t="s">
        <v>107</v>
      </c>
      <c r="I5" s="112" t="s">
        <v>108</v>
      </c>
      <c r="J5" s="92" t="s">
        <v>9</v>
      </c>
      <c r="K5" s="92" t="s">
        <v>9</v>
      </c>
      <c r="L5" s="92" t="s">
        <v>9</v>
      </c>
      <c r="M5" s="92" t="s">
        <v>9</v>
      </c>
      <c r="N5" s="92" t="s">
        <v>9</v>
      </c>
    </row>
    <row r="6" spans="1:25" x14ac:dyDescent="0.3">
      <c r="A6" s="101"/>
      <c r="B6" s="93"/>
      <c r="C6" s="93"/>
      <c r="D6" s="93"/>
      <c r="E6" s="93"/>
      <c r="F6" s="93"/>
      <c r="G6" s="93"/>
      <c r="H6" s="93"/>
      <c r="I6" s="93"/>
      <c r="J6" s="192"/>
      <c r="K6" s="192"/>
      <c r="L6" s="192"/>
      <c r="M6" s="192"/>
      <c r="N6" s="192"/>
    </row>
    <row r="7" spans="1:25" x14ac:dyDescent="0.3">
      <c r="A7" s="101" t="s">
        <v>109</v>
      </c>
      <c r="B7" s="114">
        <f>103807.97/100</f>
        <v>1038.0797</v>
      </c>
      <c r="C7" s="114">
        <f>113321.84/100</f>
        <v>1133.2184</v>
      </c>
      <c r="D7" s="114">
        <f>187625.92/100</f>
        <v>1876.2592000000002</v>
      </c>
      <c r="E7" s="114">
        <f>302307.66/100</f>
        <v>3023.0765999999999</v>
      </c>
      <c r="F7" s="114">
        <f>212295.17/100</f>
        <v>2122.9517000000001</v>
      </c>
      <c r="G7" s="114">
        <f>226914.79/100</f>
        <v>2269.1478999999999</v>
      </c>
      <c r="H7" s="114">
        <f>174047.42/100</f>
        <v>1740.4742000000001</v>
      </c>
      <c r="I7" s="114">
        <f>J7-H7</f>
        <v>621.14628417485164</v>
      </c>
      <c r="J7" s="193">
        <f>Proj_PL!F30</f>
        <v>2361.6204841748518</v>
      </c>
      <c r="K7" s="193">
        <f>Proj_PL!G30</f>
        <v>2539.6104201141825</v>
      </c>
      <c r="L7" s="193">
        <f>Proj_PL!H30</f>
        <v>3403.8978575727106</v>
      </c>
      <c r="M7" s="193">
        <f>Proj_PL!I30</f>
        <v>3887.0937960476863</v>
      </c>
      <c r="N7" s="193">
        <f>Proj_PL!J30</f>
        <v>4254.9465369860354</v>
      </c>
    </row>
    <row r="8" spans="1:25" s="109" customFormat="1" x14ac:dyDescent="0.3">
      <c r="A8" s="116" t="s">
        <v>110</v>
      </c>
      <c r="B8" s="117"/>
      <c r="C8" s="117">
        <f>C7/B7-1</f>
        <v>9.1648743347933603E-2</v>
      </c>
      <c r="D8" s="117">
        <f t="shared" ref="D8:G8" si="0">D7/C7-1</f>
        <v>0.65569073004815337</v>
      </c>
      <c r="E8" s="117">
        <f t="shared" si="0"/>
        <v>0.61122546394442701</v>
      </c>
      <c r="F8" s="118">
        <f t="shared" si="0"/>
        <v>-0.29775127100649712</v>
      </c>
      <c r="G8" s="117">
        <f t="shared" si="0"/>
        <v>6.8864590748814347E-2</v>
      </c>
      <c r="H8" s="117"/>
      <c r="I8" s="117"/>
      <c r="J8" s="194">
        <f t="shared" ref="J8" si="1">J7/G7-1</f>
        <v>4.0752118526452996E-2</v>
      </c>
      <c r="K8" s="194">
        <f t="shared" ref="K8:N8" si="2">K7/J7-1</f>
        <v>7.5367713454399521E-2</v>
      </c>
      <c r="L8" s="194">
        <f t="shared" si="2"/>
        <v>0.34032284267429858</v>
      </c>
      <c r="M8" s="194">
        <f t="shared" si="2"/>
        <v>0.14195371268265333</v>
      </c>
      <c r="N8" s="194">
        <f t="shared" si="2"/>
        <v>9.4634387601445047E-2</v>
      </c>
    </row>
    <row r="9" spans="1:25" x14ac:dyDescent="0.3">
      <c r="A9" s="120"/>
      <c r="B9" s="121"/>
      <c r="C9" s="121"/>
      <c r="D9" s="121"/>
      <c r="E9" s="121"/>
      <c r="F9" s="121"/>
      <c r="G9" s="121"/>
      <c r="H9" s="121"/>
      <c r="I9" s="121"/>
      <c r="J9" s="195"/>
      <c r="K9" s="195"/>
      <c r="L9" s="195"/>
      <c r="M9" s="195"/>
      <c r="N9" s="195"/>
    </row>
    <row r="10" spans="1:25" x14ac:dyDescent="0.3">
      <c r="A10" s="106" t="s">
        <v>111</v>
      </c>
      <c r="B10" s="122">
        <f t="shared" ref="B10:N10" si="3">B7</f>
        <v>1038.0797</v>
      </c>
      <c r="C10" s="122">
        <f t="shared" si="3"/>
        <v>1133.2184</v>
      </c>
      <c r="D10" s="122">
        <f t="shared" si="3"/>
        <v>1876.2592000000002</v>
      </c>
      <c r="E10" s="122">
        <f t="shared" si="3"/>
        <v>3023.0765999999999</v>
      </c>
      <c r="F10" s="122">
        <f t="shared" si="3"/>
        <v>2122.9517000000001</v>
      </c>
      <c r="G10" s="122">
        <f t="shared" si="3"/>
        <v>2269.1478999999999</v>
      </c>
      <c r="H10" s="122">
        <f t="shared" si="3"/>
        <v>1740.4742000000001</v>
      </c>
      <c r="I10" s="122">
        <f t="shared" si="3"/>
        <v>621.14628417485164</v>
      </c>
      <c r="J10" s="196">
        <f t="shared" si="3"/>
        <v>2361.6204841748518</v>
      </c>
      <c r="K10" s="196">
        <f t="shared" si="3"/>
        <v>2539.6104201141825</v>
      </c>
      <c r="L10" s="196">
        <f t="shared" si="3"/>
        <v>3403.8978575727106</v>
      </c>
      <c r="M10" s="196">
        <f t="shared" si="3"/>
        <v>3887.0937960476863</v>
      </c>
      <c r="N10" s="196">
        <f t="shared" si="3"/>
        <v>4254.9465369860354</v>
      </c>
    </row>
    <row r="11" spans="1:25" x14ac:dyDescent="0.3">
      <c r="A11" s="99"/>
      <c r="B11" s="123"/>
      <c r="C11" s="123"/>
      <c r="D11" s="123"/>
      <c r="E11" s="123"/>
      <c r="F11" s="123"/>
      <c r="G11" s="123"/>
      <c r="H11" s="123"/>
      <c r="I11" s="123"/>
      <c r="J11" s="197"/>
      <c r="K11" s="197"/>
      <c r="L11" s="197"/>
      <c r="M11" s="197"/>
      <c r="N11" s="197"/>
      <c r="P11" s="124"/>
      <c r="Q11" s="124"/>
      <c r="R11" s="124"/>
      <c r="S11" s="124"/>
      <c r="T11" s="124"/>
      <c r="U11" s="124"/>
      <c r="V11" s="124"/>
      <c r="W11" s="124"/>
      <c r="X11" s="124"/>
      <c r="Y11" s="124"/>
    </row>
    <row r="12" spans="1:25" x14ac:dyDescent="0.3">
      <c r="A12" s="101" t="s">
        <v>48</v>
      </c>
      <c r="B12" s="114">
        <f>63600.97/100+490.16 /100-3160.25/100</f>
        <v>609.30880000000013</v>
      </c>
      <c r="C12" s="114">
        <f>71536.01/100+487.29 /100+578.37 /100</f>
        <v>726.0166999999999</v>
      </c>
      <c r="D12" s="114">
        <f>121998.12/100+1038.56/100-4247.76/100</f>
        <v>1187.8892000000001</v>
      </c>
      <c r="E12" s="114">
        <f>192292.15/100+8453.2/100-(22329.9)/100</f>
        <v>1784.1544999999999</v>
      </c>
      <c r="F12" s="114">
        <f>108312.15/100+16.43/100+13374.82/100</f>
        <v>1217.0339999999999</v>
      </c>
      <c r="G12" s="114">
        <f>138152.07/100+370.98/100-(5667.43)/100</f>
        <v>1328.5562000000002</v>
      </c>
      <c r="H12" s="114">
        <f>104683.77/100+593.42/100-946.63/100</f>
        <v>1043.3055999999999</v>
      </c>
      <c r="I12" s="114">
        <f>J12-H12</f>
        <v>373.666690504911</v>
      </c>
      <c r="J12" s="193">
        <f>Proj_PL!F33</f>
        <v>1416.9722905049109</v>
      </c>
      <c r="K12" s="193">
        <f>Proj_PL!G33</f>
        <v>1523.7662520685094</v>
      </c>
      <c r="L12" s="193">
        <f>Proj_PL!H33</f>
        <v>2042.3387145436263</v>
      </c>
      <c r="M12" s="193">
        <f>Proj_PL!I33</f>
        <v>2332.2562776286118</v>
      </c>
      <c r="N12" s="193">
        <f>Proj_PL!J33</f>
        <v>2552.9679221916213</v>
      </c>
      <c r="P12" s="124"/>
      <c r="Q12" s="124"/>
      <c r="R12" s="124"/>
      <c r="S12" s="124"/>
      <c r="T12" s="124"/>
      <c r="U12" s="124"/>
      <c r="V12" s="124"/>
      <c r="W12" s="124"/>
      <c r="X12" s="124"/>
      <c r="Y12" s="124"/>
    </row>
    <row r="13" spans="1:25" x14ac:dyDescent="0.3">
      <c r="A13" s="116" t="s">
        <v>110</v>
      </c>
      <c r="B13" s="117"/>
      <c r="C13" s="117">
        <f>C12/B12-1</f>
        <v>0.19154146468916866</v>
      </c>
      <c r="D13" s="117">
        <f t="shared" ref="D13:G13" si="4">D12/C12-1</f>
        <v>0.63617338278857805</v>
      </c>
      <c r="E13" s="117">
        <f t="shared" si="4"/>
        <v>0.50195363338600929</v>
      </c>
      <c r="F13" s="117">
        <f t="shared" si="4"/>
        <v>-0.31786512883273288</v>
      </c>
      <c r="G13" s="117">
        <f t="shared" si="4"/>
        <v>9.1634416129705798E-2</v>
      </c>
      <c r="H13" s="117"/>
      <c r="I13" s="117"/>
      <c r="J13" s="194">
        <f t="shared" ref="J13" si="5">J12/G12-1</f>
        <v>6.6550508367587913E-2</v>
      </c>
      <c r="K13" s="194">
        <f t="shared" ref="K13:N13" si="6">K12/J12-1</f>
        <v>7.5367713454399743E-2</v>
      </c>
      <c r="L13" s="194">
        <f t="shared" si="6"/>
        <v>0.34032284267429858</v>
      </c>
      <c r="M13" s="194">
        <f t="shared" si="6"/>
        <v>0.14195371268265333</v>
      </c>
      <c r="N13" s="194">
        <f t="shared" si="6"/>
        <v>9.4634387601445047E-2</v>
      </c>
      <c r="P13" s="124"/>
      <c r="Q13" s="124"/>
      <c r="R13" s="124"/>
      <c r="S13" s="124"/>
      <c r="T13" s="124"/>
      <c r="U13" s="124"/>
      <c r="V13" s="124"/>
      <c r="W13" s="124"/>
      <c r="X13" s="124"/>
      <c r="Y13" s="124"/>
    </row>
    <row r="14" spans="1:25" s="124" customFormat="1" x14ac:dyDescent="0.3">
      <c r="A14" s="125" t="s">
        <v>112</v>
      </c>
      <c r="B14" s="126">
        <f t="shared" ref="B14:N14" si="7">B12/B$10</f>
        <v>0.58695762955387731</v>
      </c>
      <c r="C14" s="126">
        <f t="shared" si="7"/>
        <v>0.64066794185480924</v>
      </c>
      <c r="D14" s="126">
        <f t="shared" si="7"/>
        <v>0.6331157230301655</v>
      </c>
      <c r="E14" s="126">
        <f t="shared" si="7"/>
        <v>0.59017839640583369</v>
      </c>
      <c r="F14" s="127">
        <f t="shared" si="7"/>
        <v>0.5732744649819399</v>
      </c>
      <c r="G14" s="126">
        <f t="shared" si="7"/>
        <v>0.58548682525277451</v>
      </c>
      <c r="H14" s="126">
        <f t="shared" si="7"/>
        <v>0.59943755558111678</v>
      </c>
      <c r="I14" s="126">
        <f t="shared" si="7"/>
        <v>0.60157598946486568</v>
      </c>
      <c r="J14" s="198">
        <f t="shared" si="7"/>
        <v>0.6</v>
      </c>
      <c r="K14" s="198">
        <f t="shared" si="7"/>
        <v>0.6</v>
      </c>
      <c r="L14" s="198">
        <f t="shared" si="7"/>
        <v>0.6</v>
      </c>
      <c r="M14" s="198">
        <f t="shared" si="7"/>
        <v>0.6</v>
      </c>
      <c r="N14" s="198">
        <f t="shared" si="7"/>
        <v>0.6</v>
      </c>
    </row>
    <row r="15" spans="1:25" s="124" customFormat="1" x14ac:dyDescent="0.3">
      <c r="A15" s="128"/>
      <c r="B15" s="129"/>
      <c r="C15" s="129"/>
      <c r="D15" s="129"/>
      <c r="E15" s="129"/>
      <c r="F15" s="129"/>
      <c r="G15" s="129"/>
      <c r="H15" s="129"/>
      <c r="I15" s="129"/>
      <c r="J15" s="199"/>
      <c r="K15" s="199"/>
      <c r="L15" s="199"/>
      <c r="M15" s="199"/>
      <c r="N15" s="199"/>
    </row>
    <row r="16" spans="1:25" x14ac:dyDescent="0.3">
      <c r="A16" s="101" t="s">
        <v>57</v>
      </c>
      <c r="B16" s="114">
        <f>7245.46/100</f>
        <v>72.454599999999999</v>
      </c>
      <c r="C16" s="114">
        <f>7956.73/100</f>
        <v>79.567299999999989</v>
      </c>
      <c r="D16" s="114">
        <f>8927.35/100</f>
        <v>89.273499999999999</v>
      </c>
      <c r="E16" s="114">
        <f>10530.16/100</f>
        <v>105.30159999999999</v>
      </c>
      <c r="F16" s="114">
        <f>11954.55/100</f>
        <v>119.54549999999999</v>
      </c>
      <c r="G16" s="130">
        <f>13516.15/100</f>
        <v>135.16149999999999</v>
      </c>
      <c r="H16" s="130">
        <f>12211.51/100</f>
        <v>122.1151</v>
      </c>
      <c r="I16" s="130">
        <f>J16-H16</f>
        <v>19.582129050491105</v>
      </c>
      <c r="J16" s="200">
        <f>Proj_PL!F34</f>
        <v>141.6972290504911</v>
      </c>
      <c r="K16" s="200">
        <f>Proj_PL!G34</f>
        <v>165.07467730742187</v>
      </c>
      <c r="L16" s="200">
        <f>Proj_PL!H34</f>
        <v>221.25336074222619</v>
      </c>
      <c r="M16" s="200">
        <f>Proj_PL!I34</f>
        <v>272.09656572333807</v>
      </c>
      <c r="N16" s="200">
        <f>Proj_PL!J34</f>
        <v>297.84625758902251</v>
      </c>
    </row>
    <row r="17" spans="1:16" x14ac:dyDescent="0.3">
      <c r="A17" s="116" t="s">
        <v>110</v>
      </c>
      <c r="B17" s="117"/>
      <c r="C17" s="117">
        <f>C16/B16-1</f>
        <v>9.8167680174895633E-2</v>
      </c>
      <c r="D17" s="117">
        <f t="shared" ref="D17:G17" si="8">D16/C16-1</f>
        <v>0.12198729880239756</v>
      </c>
      <c r="E17" s="117">
        <f t="shared" si="8"/>
        <v>0.17953928097363714</v>
      </c>
      <c r="F17" s="117">
        <f t="shared" si="8"/>
        <v>0.13526765025412724</v>
      </c>
      <c r="G17" s="117">
        <f t="shared" si="8"/>
        <v>0.13062808721365515</v>
      </c>
      <c r="H17" s="117"/>
      <c r="I17" s="117"/>
      <c r="J17" s="194">
        <f t="shared" ref="J17" si="9">J16/G16-1</f>
        <v>4.8354960920758527E-2</v>
      </c>
      <c r="K17" s="194">
        <f t="shared" ref="K17:N17" si="10">K16/J16-1</f>
        <v>0.16498168957559955</v>
      </c>
      <c r="L17" s="194">
        <f t="shared" si="10"/>
        <v>0.34032284267429858</v>
      </c>
      <c r="M17" s="194">
        <f t="shared" si="10"/>
        <v>0.22979630596593448</v>
      </c>
      <c r="N17" s="194">
        <f t="shared" si="10"/>
        <v>9.4634387601445047E-2</v>
      </c>
    </row>
    <row r="18" spans="1:16" x14ac:dyDescent="0.3">
      <c r="A18" s="125" t="s">
        <v>112</v>
      </c>
      <c r="B18" s="126">
        <f t="shared" ref="B18:N18" si="11">B16/B$10</f>
        <v>6.9796760306554489E-2</v>
      </c>
      <c r="C18" s="126">
        <f t="shared" si="11"/>
        <v>7.0213561657664569E-2</v>
      </c>
      <c r="D18" s="126">
        <f t="shared" si="11"/>
        <v>4.7580579484966676E-2</v>
      </c>
      <c r="E18" s="127">
        <f t="shared" si="11"/>
        <v>3.4832594053356106E-2</v>
      </c>
      <c r="F18" s="126">
        <f t="shared" si="11"/>
        <v>5.6310984371429638E-2</v>
      </c>
      <c r="G18" s="126">
        <f t="shared" si="11"/>
        <v>5.9564870143545952E-2</v>
      </c>
      <c r="H18" s="126">
        <f t="shared" si="11"/>
        <v>7.0161970800831169E-2</v>
      </c>
      <c r="I18" s="126">
        <f t="shared" si="11"/>
        <v>3.1525792795338958E-2</v>
      </c>
      <c r="J18" s="198">
        <f t="shared" si="11"/>
        <v>0.06</v>
      </c>
      <c r="K18" s="198">
        <f t="shared" si="11"/>
        <v>6.5000000000000002E-2</v>
      </c>
      <c r="L18" s="198">
        <f t="shared" si="11"/>
        <v>6.5000000000000002E-2</v>
      </c>
      <c r="M18" s="198">
        <f t="shared" si="11"/>
        <v>7.0000000000000007E-2</v>
      </c>
      <c r="N18" s="198">
        <f t="shared" si="11"/>
        <v>7.0000000000000007E-2</v>
      </c>
      <c r="O18" s="131"/>
      <c r="P18" s="131"/>
    </row>
    <row r="19" spans="1:16" x14ac:dyDescent="0.3">
      <c r="A19" s="128"/>
      <c r="B19" s="129"/>
      <c r="C19" s="129"/>
      <c r="D19" s="129"/>
      <c r="E19" s="129"/>
      <c r="F19" s="129"/>
      <c r="G19" s="129"/>
      <c r="H19" s="129"/>
      <c r="I19" s="129"/>
      <c r="J19" s="199"/>
      <c r="K19" s="199"/>
      <c r="L19" s="199"/>
      <c r="M19" s="199"/>
      <c r="N19" s="199"/>
    </row>
    <row r="20" spans="1:16" x14ac:dyDescent="0.3">
      <c r="A20" s="101" t="s">
        <v>60</v>
      </c>
      <c r="B20" s="114">
        <f>11584.36/100</f>
        <v>115.84360000000001</v>
      </c>
      <c r="C20" s="114">
        <f>12837.96/100</f>
        <v>128.37959999999998</v>
      </c>
      <c r="D20" s="114">
        <f>23458.95/100</f>
        <v>234.58950000000002</v>
      </c>
      <c r="E20" s="114">
        <f>30254.3/100</f>
        <v>302.54300000000001</v>
      </c>
      <c r="F20" s="114">
        <f>25189.08/100</f>
        <v>251.89080000000001</v>
      </c>
      <c r="G20" s="114">
        <f>29255.29/100</f>
        <v>292.55290000000002</v>
      </c>
      <c r="H20" s="114">
        <f>22193.99/100</f>
        <v>221.93990000000002</v>
      </c>
      <c r="I20" s="114">
        <f>J20-H20</f>
        <v>64.935338763372556</v>
      </c>
      <c r="J20" s="193">
        <f>Proj_PL!F35</f>
        <v>286.87523876337258</v>
      </c>
      <c r="K20" s="193">
        <f>Proj_PL!G35</f>
        <v>308.4963695556529</v>
      </c>
      <c r="L20" s="193">
        <f>Proj_PL!H35</f>
        <v>413.48473099753363</v>
      </c>
      <c r="M20" s="193">
        <f>Proj_PL!I35</f>
        <v>472.18042370022175</v>
      </c>
      <c r="N20" s="193">
        <f>Proj_PL!J35</f>
        <v>516.86492893448303</v>
      </c>
    </row>
    <row r="21" spans="1:16" x14ac:dyDescent="0.3">
      <c r="A21" s="116" t="s">
        <v>110</v>
      </c>
      <c r="B21" s="117"/>
      <c r="C21" s="117">
        <f>C20/B20-1</f>
        <v>0.10821486901304844</v>
      </c>
      <c r="D21" s="117">
        <f t="shared" ref="D21:G21" si="12">D20/C20-1</f>
        <v>0.82731134853201005</v>
      </c>
      <c r="E21" s="117">
        <f t="shared" si="12"/>
        <v>0.28966982750719872</v>
      </c>
      <c r="F21" s="117">
        <f t="shared" si="12"/>
        <v>-0.16742149049887123</v>
      </c>
      <c r="G21" s="117">
        <f t="shared" si="12"/>
        <v>0.16142749159556447</v>
      </c>
      <c r="H21" s="117"/>
      <c r="I21" s="117"/>
      <c r="J21" s="194">
        <f t="shared" ref="J21" si="13">J20/G20-1</f>
        <v>-1.940729774556138E-2</v>
      </c>
      <c r="K21" s="194">
        <f t="shared" ref="K21:N21" si="14">K20/J20-1</f>
        <v>7.5367713454399521E-2</v>
      </c>
      <c r="L21" s="194">
        <f t="shared" si="14"/>
        <v>0.34032284267429858</v>
      </c>
      <c r="M21" s="194">
        <f t="shared" si="14"/>
        <v>0.14195371268265333</v>
      </c>
      <c r="N21" s="194">
        <f t="shared" si="14"/>
        <v>9.4634387601444825E-2</v>
      </c>
    </row>
    <row r="22" spans="1:16" x14ac:dyDescent="0.3">
      <c r="A22" s="125" t="s">
        <v>112</v>
      </c>
      <c r="B22" s="126">
        <f t="shared" ref="B22:N22" si="15">B20/B$10</f>
        <v>0.11159412904423428</v>
      </c>
      <c r="C22" s="126">
        <f t="shared" si="15"/>
        <v>0.11328760634313738</v>
      </c>
      <c r="D22" s="126">
        <f t="shared" si="15"/>
        <v>0.12503043289541232</v>
      </c>
      <c r="E22" s="126">
        <f t="shared" si="15"/>
        <v>0.10007784784546975</v>
      </c>
      <c r="F22" s="126">
        <f t="shared" si="15"/>
        <v>0.11865121566354996</v>
      </c>
      <c r="G22" s="126">
        <f t="shared" si="15"/>
        <v>0.12892632516373217</v>
      </c>
      <c r="H22" s="126">
        <f t="shared" si="15"/>
        <v>0.12751691464314727</v>
      </c>
      <c r="I22" s="126">
        <f t="shared" si="15"/>
        <v>0.10454113695557964</v>
      </c>
      <c r="J22" s="198">
        <f t="shared" si="15"/>
        <v>0.12147389501645797</v>
      </c>
      <c r="K22" s="198">
        <f t="shared" si="15"/>
        <v>0.12147389501645796</v>
      </c>
      <c r="L22" s="198">
        <f t="shared" si="15"/>
        <v>0.12147389501645797</v>
      </c>
      <c r="M22" s="198">
        <f t="shared" si="15"/>
        <v>0.12147389501645797</v>
      </c>
      <c r="N22" s="198">
        <f t="shared" si="15"/>
        <v>0.12147389501645796</v>
      </c>
      <c r="O22" s="131"/>
      <c r="P22" s="131"/>
    </row>
    <row r="23" spans="1:16" x14ac:dyDescent="0.3">
      <c r="A23" s="106" t="s">
        <v>113</v>
      </c>
      <c r="B23" s="132">
        <f t="shared" ref="B23:N23" si="16">B12+B16+B20</f>
        <v>797.6070000000002</v>
      </c>
      <c r="C23" s="132">
        <f t="shared" si="16"/>
        <v>933.96359999999981</v>
      </c>
      <c r="D23" s="132">
        <f t="shared" si="16"/>
        <v>1511.7522000000001</v>
      </c>
      <c r="E23" s="132">
        <f t="shared" si="16"/>
        <v>2191.9991</v>
      </c>
      <c r="F23" s="132">
        <f t="shared" si="16"/>
        <v>1588.4703</v>
      </c>
      <c r="G23" s="132">
        <f t="shared" si="16"/>
        <v>1756.2706000000003</v>
      </c>
      <c r="H23" s="132">
        <f t="shared" si="16"/>
        <v>1387.3606</v>
      </c>
      <c r="I23" s="132">
        <f t="shared" si="16"/>
        <v>458.18415831877468</v>
      </c>
      <c r="J23" s="201">
        <f t="shared" si="16"/>
        <v>1845.5447583187747</v>
      </c>
      <c r="K23" s="201">
        <f t="shared" si="16"/>
        <v>1997.337298931584</v>
      </c>
      <c r="L23" s="201">
        <f t="shared" si="16"/>
        <v>2677.0768062833858</v>
      </c>
      <c r="M23" s="201">
        <f t="shared" si="16"/>
        <v>3076.5332670521716</v>
      </c>
      <c r="N23" s="201">
        <f t="shared" si="16"/>
        <v>3367.6791087151269</v>
      </c>
    </row>
    <row r="24" spans="1:16" x14ac:dyDescent="0.3">
      <c r="A24" s="106" t="s">
        <v>62</v>
      </c>
      <c r="B24" s="122">
        <f t="shared" ref="B24:N24" si="17">B10-B23</f>
        <v>240.4726999999998</v>
      </c>
      <c r="C24" s="122">
        <f t="shared" si="17"/>
        <v>199.25480000000016</v>
      </c>
      <c r="D24" s="122">
        <f t="shared" si="17"/>
        <v>364.50700000000006</v>
      </c>
      <c r="E24" s="122">
        <f t="shared" si="17"/>
        <v>831.07749999999987</v>
      </c>
      <c r="F24" s="122">
        <f t="shared" si="17"/>
        <v>534.48140000000012</v>
      </c>
      <c r="G24" s="122">
        <f t="shared" si="17"/>
        <v>512.87729999999965</v>
      </c>
      <c r="H24" s="122">
        <f t="shared" si="17"/>
        <v>353.11360000000013</v>
      </c>
      <c r="I24" s="122">
        <f t="shared" si="17"/>
        <v>162.96212585607697</v>
      </c>
      <c r="J24" s="196">
        <f t="shared" si="17"/>
        <v>516.07572585607704</v>
      </c>
      <c r="K24" s="196">
        <f t="shared" si="17"/>
        <v>542.27312118259852</v>
      </c>
      <c r="L24" s="196">
        <f t="shared" si="17"/>
        <v>726.82105128932471</v>
      </c>
      <c r="M24" s="196">
        <f t="shared" si="17"/>
        <v>810.56052899551469</v>
      </c>
      <c r="N24" s="196">
        <f t="shared" si="17"/>
        <v>887.26742827090857</v>
      </c>
      <c r="O24" s="134"/>
    </row>
    <row r="25" spans="1:16" x14ac:dyDescent="0.3">
      <c r="A25" s="135" t="s">
        <v>69</v>
      </c>
      <c r="B25" s="136">
        <f t="shared" ref="B25:N25" si="18">B24/B$10</f>
        <v>0.23165148109533382</v>
      </c>
      <c r="C25" s="136">
        <f t="shared" si="18"/>
        <v>0.17583089014438891</v>
      </c>
      <c r="D25" s="136">
        <f t="shared" si="18"/>
        <v>0.19427326458945546</v>
      </c>
      <c r="E25" s="136">
        <f t="shared" si="18"/>
        <v>0.27491116169534041</v>
      </c>
      <c r="F25" s="137">
        <f t="shared" si="18"/>
        <v>0.25176333498308046</v>
      </c>
      <c r="G25" s="136">
        <f t="shared" si="18"/>
        <v>0.22602197943994734</v>
      </c>
      <c r="H25" s="136">
        <f t="shared" si="18"/>
        <v>0.20288355897490473</v>
      </c>
      <c r="I25" s="136">
        <f t="shared" si="18"/>
        <v>0.26235708078421571</v>
      </c>
      <c r="J25" s="137">
        <f t="shared" si="18"/>
        <v>0.21852610498354205</v>
      </c>
      <c r="K25" s="137">
        <f t="shared" si="18"/>
        <v>0.21352610498354216</v>
      </c>
      <c r="L25" s="137">
        <f t="shared" si="18"/>
        <v>0.21352610498354213</v>
      </c>
      <c r="M25" s="137">
        <f t="shared" si="18"/>
        <v>0.20852610498354202</v>
      </c>
      <c r="N25" s="137">
        <f t="shared" si="18"/>
        <v>0.20852610498354202</v>
      </c>
      <c r="P25" s="131"/>
    </row>
    <row r="26" spans="1:16" hidden="1" x14ac:dyDescent="0.3">
      <c r="A26" s="138" t="s">
        <v>114</v>
      </c>
      <c r="B26" s="139">
        <f>2018.59/100</f>
        <v>20.1859</v>
      </c>
      <c r="C26" s="139">
        <f>1709.77/100</f>
        <v>17.0977</v>
      </c>
      <c r="D26" s="139">
        <f>3289.38/100</f>
        <v>32.893799999999999</v>
      </c>
      <c r="E26" s="139">
        <f>6415.18/100</f>
        <v>64.151800000000009</v>
      </c>
      <c r="F26" s="139">
        <f>7187.64/100</f>
        <v>71.876400000000004</v>
      </c>
      <c r="G26" s="139">
        <f>9760/100</f>
        <v>97.6</v>
      </c>
      <c r="H26" s="139">
        <f>8207.66/100</f>
        <v>82.076599999999999</v>
      </c>
      <c r="I26" s="139">
        <f>J26-H26</f>
        <v>-9.5106999999999999</v>
      </c>
      <c r="J26" s="140">
        <f>Proj_PL!F39</f>
        <v>72.565899999999999</v>
      </c>
      <c r="K26" s="140">
        <f>Proj_PL!G39</f>
        <v>72.565899999999999</v>
      </c>
      <c r="L26" s="140">
        <f>Proj_PL!H39</f>
        <v>72.565899999999999</v>
      </c>
      <c r="M26" s="140">
        <f>Proj_PL!I39</f>
        <v>72.565899999999999</v>
      </c>
      <c r="N26" s="140">
        <f>Proj_PL!J39</f>
        <v>72.565899999999999</v>
      </c>
    </row>
    <row r="27" spans="1:16" hidden="1" x14ac:dyDescent="0.3">
      <c r="A27" s="116" t="s">
        <v>110</v>
      </c>
      <c r="B27" s="117"/>
      <c r="C27" s="117">
        <f>C26/B26-1</f>
        <v>-0.15298797675605247</v>
      </c>
      <c r="D27" s="117">
        <f t="shared" ref="D27:G27" si="19">D26/C26-1</f>
        <v>0.92387280160489427</v>
      </c>
      <c r="E27" s="117">
        <f t="shared" si="19"/>
        <v>0.95027026369711032</v>
      </c>
      <c r="F27" s="117">
        <f t="shared" si="19"/>
        <v>0.12041127450827549</v>
      </c>
      <c r="G27" s="117">
        <f t="shared" si="19"/>
        <v>0.35788659420894753</v>
      </c>
      <c r="H27" s="117"/>
      <c r="I27" s="117"/>
      <c r="J27" s="119">
        <f t="shared" ref="J27" si="20">J26/G26-1</f>
        <v>-0.25649692622950815</v>
      </c>
      <c r="K27" s="119">
        <f t="shared" ref="K27:N27" si="21">K26/J26-1</f>
        <v>0</v>
      </c>
      <c r="L27" s="119">
        <f t="shared" si="21"/>
        <v>0</v>
      </c>
      <c r="M27" s="119">
        <f t="shared" si="21"/>
        <v>0</v>
      </c>
      <c r="N27" s="119">
        <f t="shared" si="21"/>
        <v>0</v>
      </c>
    </row>
    <row r="28" spans="1:16" hidden="1" x14ac:dyDescent="0.3">
      <c r="A28" s="101" t="s">
        <v>115</v>
      </c>
      <c r="B28" s="114">
        <f>482.11 /100</f>
        <v>4.8211000000000004</v>
      </c>
      <c r="C28" s="114">
        <f>612.98 /100</f>
        <v>6.1298000000000004</v>
      </c>
      <c r="D28" s="114">
        <f>494.15/100</f>
        <v>4.9414999999999996</v>
      </c>
      <c r="E28" s="114">
        <f>456.78/100</f>
        <v>4.5678000000000001</v>
      </c>
      <c r="F28" s="114">
        <f>243.3/100</f>
        <v>2.4330000000000003</v>
      </c>
      <c r="G28" s="114">
        <f>219.56/100</f>
        <v>2.1956000000000002</v>
      </c>
      <c r="H28" s="114">
        <f>141.39/100</f>
        <v>1.4138999999999999</v>
      </c>
      <c r="I28" s="114"/>
      <c r="J28" s="115">
        <f>Proj_PL!F40</f>
        <v>0</v>
      </c>
      <c r="K28" s="115">
        <f>Proj_PL!G40</f>
        <v>0</v>
      </c>
      <c r="L28" s="115">
        <f>Proj_PL!H40</f>
        <v>0</v>
      </c>
      <c r="M28" s="115">
        <f>Proj_PL!I40</f>
        <v>0</v>
      </c>
      <c r="N28" s="115">
        <f>Proj_PL!J40</f>
        <v>0</v>
      </c>
    </row>
    <row r="29" spans="1:16" hidden="1" x14ac:dyDescent="0.3">
      <c r="A29" s="101" t="s">
        <v>71</v>
      </c>
      <c r="B29" s="114">
        <f>3465.53/100</f>
        <v>34.655300000000004</v>
      </c>
      <c r="C29" s="114">
        <f>4676.91/100</f>
        <v>46.769100000000002</v>
      </c>
      <c r="D29" s="114">
        <f>3990.28/100</f>
        <v>39.902799999999999</v>
      </c>
      <c r="E29" s="114">
        <f>4789.3/100</f>
        <v>47.893000000000001</v>
      </c>
      <c r="F29" s="114">
        <f>5660.07/100</f>
        <v>56.600699999999996</v>
      </c>
      <c r="G29" s="114">
        <f>5229.62/100</f>
        <v>52.296199999999999</v>
      </c>
      <c r="H29" s="114">
        <f>3836.98/100</f>
        <v>38.369799999999998</v>
      </c>
      <c r="I29" s="114"/>
      <c r="J29" s="115">
        <f>Proj_PL!F41</f>
        <v>67.357359847694397</v>
      </c>
      <c r="K29" s="115">
        <f>Proj_PL!G41</f>
        <v>90.36286774691996</v>
      </c>
      <c r="L29" s="115">
        <f>Proj_PL!H41</f>
        <v>108.23765086286494</v>
      </c>
      <c r="M29" s="115">
        <f>Proj_PL!I41</f>
        <v>115.85098441224898</v>
      </c>
      <c r="N29" s="115">
        <f>Proj_PL!J41</f>
        <v>118.49910042942599</v>
      </c>
    </row>
    <row r="30" spans="1:16" hidden="1" x14ac:dyDescent="0.3">
      <c r="A30" s="101" t="s">
        <v>116</v>
      </c>
      <c r="B30" s="114">
        <f>-(506.03)/100</f>
        <v>-5.0602999999999998</v>
      </c>
      <c r="C30" s="141">
        <f>-(130.45)/100</f>
        <v>-1.3045</v>
      </c>
      <c r="D30" s="114">
        <f>-(102.88)/100</f>
        <v>-1.0287999999999999</v>
      </c>
      <c r="E30" s="114">
        <f>-(177.43)/100</f>
        <v>-1.7743</v>
      </c>
      <c r="F30" s="114">
        <f>-263.94/100-56.32/100</f>
        <v>-3.2026000000000003</v>
      </c>
      <c r="G30" s="114">
        <f>-82.85/100</f>
        <v>-0.8284999999999999</v>
      </c>
      <c r="H30" s="114"/>
      <c r="I30" s="114"/>
      <c r="J30" s="115" t="e">
        <f>Proj_PL!#REF!</f>
        <v>#REF!</v>
      </c>
      <c r="K30" s="115" t="e">
        <f>Proj_PL!#REF!</f>
        <v>#REF!</v>
      </c>
      <c r="L30" s="115" t="e">
        <f>Proj_PL!#REF!</f>
        <v>#REF!</v>
      </c>
      <c r="M30" s="115" t="e">
        <f>Proj_PL!#REF!</f>
        <v>#REF!</v>
      </c>
      <c r="N30" s="115" t="e">
        <f>Proj_PL!#REF!</f>
        <v>#REF!</v>
      </c>
      <c r="O30" s="109" t="s">
        <v>117</v>
      </c>
    </row>
    <row r="31" spans="1:16" hidden="1" x14ac:dyDescent="0.3">
      <c r="A31" s="106" t="s">
        <v>72</v>
      </c>
      <c r="B31" s="132">
        <f t="shared" ref="B31:H31" si="22">B24-B28-B29+B26+B30</f>
        <v>216.12189999999978</v>
      </c>
      <c r="C31" s="132">
        <f t="shared" si="22"/>
        <v>162.14910000000017</v>
      </c>
      <c r="D31" s="132">
        <f t="shared" si="22"/>
        <v>351.52770000000004</v>
      </c>
      <c r="E31" s="132">
        <f t="shared" si="22"/>
        <v>840.99419999999975</v>
      </c>
      <c r="F31" s="132">
        <f t="shared" si="22"/>
        <v>544.1215000000002</v>
      </c>
      <c r="G31" s="132">
        <f t="shared" si="22"/>
        <v>555.1569999999997</v>
      </c>
      <c r="H31" s="132">
        <f t="shared" si="22"/>
        <v>395.40650000000011</v>
      </c>
      <c r="I31" s="132"/>
      <c r="J31" s="133"/>
      <c r="K31" s="133"/>
      <c r="L31" s="133"/>
      <c r="M31" s="133"/>
      <c r="N31" s="133"/>
    </row>
    <row r="32" spans="1:16" hidden="1" x14ac:dyDescent="0.3">
      <c r="A32" s="135" t="s">
        <v>73</v>
      </c>
      <c r="B32" s="136">
        <f t="shared" ref="B32:H32" si="23">B31/B$10</f>
        <v>0.20819393732485067</v>
      </c>
      <c r="C32" s="136">
        <f t="shared" si="23"/>
        <v>0.14308724602424402</v>
      </c>
      <c r="D32" s="136">
        <f t="shared" si="23"/>
        <v>0.18735561696379691</v>
      </c>
      <c r="E32" s="136">
        <f t="shared" si="23"/>
        <v>0.2781914953792437</v>
      </c>
      <c r="F32" s="136">
        <f t="shared" si="23"/>
        <v>0.256304229625196</v>
      </c>
      <c r="G32" s="136">
        <f t="shared" si="23"/>
        <v>0.24465439207378228</v>
      </c>
      <c r="H32" s="136">
        <f t="shared" si="23"/>
        <v>0.22718320099200556</v>
      </c>
      <c r="I32" s="136"/>
      <c r="J32" s="142"/>
      <c r="K32" s="142"/>
      <c r="L32" s="142"/>
      <c r="M32" s="142"/>
      <c r="N32" s="142"/>
    </row>
    <row r="33" spans="2:14" hidden="1" x14ac:dyDescent="0.3">
      <c r="B33" s="143">
        <f>21612.19/100</f>
        <v>216.12189999999998</v>
      </c>
      <c r="C33" s="143">
        <f>16214.91/100</f>
        <v>162.1491</v>
      </c>
      <c r="D33" s="143">
        <f>35152.77/100</f>
        <v>351.52769999999998</v>
      </c>
      <c r="E33" s="143">
        <f>84099.42/100</f>
        <v>840.99419999999998</v>
      </c>
      <c r="F33" s="143">
        <f>54412.15/100</f>
        <v>544.12149999999997</v>
      </c>
      <c r="G33" s="143">
        <f>55515.7/100</f>
        <v>555.15699999999993</v>
      </c>
      <c r="H33" s="143">
        <f>39540.65/100</f>
        <v>395.40649999999999</v>
      </c>
      <c r="I33" s="143"/>
      <c r="J33" s="143"/>
      <c r="K33" s="143"/>
      <c r="L33" s="143"/>
      <c r="M33" s="143"/>
      <c r="N33" s="143"/>
    </row>
    <row r="34" spans="2:14" hidden="1" x14ac:dyDescent="0.3">
      <c r="B34" s="144">
        <f t="shared" ref="B34:H34" si="24">B31-B33</f>
        <v>0</v>
      </c>
      <c r="C34" s="144">
        <f t="shared" si="24"/>
        <v>0</v>
      </c>
      <c r="D34" s="144">
        <f t="shared" si="24"/>
        <v>0</v>
      </c>
      <c r="E34" s="144">
        <f t="shared" si="24"/>
        <v>0</v>
      </c>
      <c r="F34" s="144">
        <f t="shared" si="24"/>
        <v>0</v>
      </c>
      <c r="G34" s="144">
        <f t="shared" si="24"/>
        <v>0</v>
      </c>
      <c r="H34" s="144">
        <f t="shared" si="24"/>
        <v>0</v>
      </c>
      <c r="I34" s="144"/>
      <c r="J34" s="144"/>
      <c r="K34" s="144"/>
      <c r="L34" s="144"/>
      <c r="M34" s="144"/>
      <c r="N34" s="144"/>
    </row>
    <row r="35" spans="2:14" x14ac:dyDescent="0.3">
      <c r="B35" s="143"/>
      <c r="C35" s="143"/>
      <c r="D35" s="143"/>
      <c r="E35" s="143"/>
      <c r="F35" s="144"/>
      <c r="G35" s="143"/>
      <c r="H35" s="143"/>
      <c r="I35" s="143"/>
      <c r="J35" s="143"/>
      <c r="K35" s="143"/>
      <c r="L35" s="143"/>
      <c r="M35" s="143"/>
      <c r="N35" s="143"/>
    </row>
    <row r="37" spans="2:14" x14ac:dyDescent="0.3"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</sheetData>
  <mergeCells count="1">
    <mergeCell ref="A4:A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4FFC-821C-4EF1-857B-9F515A4F8FFA}">
  <dimension ref="A1:G125"/>
  <sheetViews>
    <sheetView showGridLines="0" zoomScaleNormal="100" workbookViewId="0">
      <pane xSplit="1" ySplit="6" topLeftCell="D7" activePane="bottomRight" state="frozen"/>
      <selection activeCell="I7" sqref="I7"/>
      <selection pane="topRight" activeCell="I7" sqref="I7"/>
      <selection pane="bottomLeft" activeCell="I7" sqref="I7"/>
      <selection pane="bottomRight" activeCell="D7" sqref="D7"/>
    </sheetView>
  </sheetViews>
  <sheetFormatPr defaultColWidth="19" defaultRowHeight="14.4" x14ac:dyDescent="0.3"/>
  <cols>
    <col min="1" max="1" width="35.77734375" style="95" bestFit="1" customWidth="1"/>
    <col min="2" max="2" width="9.21875" style="95" hidden="1" customWidth="1"/>
    <col min="3" max="3" width="9.77734375" style="95" hidden="1" customWidth="1"/>
    <col min="4" max="7" width="9.77734375" style="95" bestFit="1" customWidth="1"/>
    <col min="8" max="16384" width="19" style="95"/>
  </cols>
  <sheetData>
    <row r="1" spans="1:7" x14ac:dyDescent="0.3">
      <c r="A1" s="94" t="str">
        <f>'P&amp;L Analysis'!A1</f>
        <v>FINE ORGANIC INDUSTRIES LIMITED</v>
      </c>
      <c r="B1" s="94"/>
    </row>
    <row r="2" spans="1:7" x14ac:dyDescent="0.3">
      <c r="G2" s="96" t="str">
        <f>'P&amp;L Analysis'!N3</f>
        <v>(INR Crores)</v>
      </c>
    </row>
    <row r="3" spans="1:7" x14ac:dyDescent="0.3">
      <c r="A3" s="97" t="str">
        <f>'P&amp;L Analysis'!A4</f>
        <v>Particulars</v>
      </c>
      <c r="B3" s="97" t="str">
        <f>'P&amp;L Analysis'!B4</f>
        <v>2019-20</v>
      </c>
      <c r="C3" s="97" t="str">
        <f>'P&amp;L Analysis'!C4</f>
        <v>2020-21</v>
      </c>
      <c r="D3" s="97" t="str">
        <f>'P&amp;L Analysis'!D4</f>
        <v>2021-22</v>
      </c>
      <c r="E3" s="97" t="str">
        <f>'P&amp;L Analysis'!E4</f>
        <v>2022-23</v>
      </c>
      <c r="F3" s="97" t="str">
        <f>'P&amp;L Analysis'!F4</f>
        <v>2023-24</v>
      </c>
      <c r="G3" s="97" t="str">
        <f>'P&amp;L Analysis'!G4</f>
        <v>2024-25</v>
      </c>
    </row>
    <row r="4" spans="1:7" x14ac:dyDescent="0.3">
      <c r="A4" s="146"/>
      <c r="B4" s="146"/>
      <c r="C4" s="99"/>
      <c r="D4" s="99"/>
      <c r="E4" s="99"/>
      <c r="F4" s="99"/>
      <c r="G4" s="99"/>
    </row>
    <row r="5" spans="1:7" x14ac:dyDescent="0.3">
      <c r="A5" s="147" t="s">
        <v>0</v>
      </c>
      <c r="B5" s="141">
        <f>'P&amp;L Analysis'!B10</f>
        <v>1038.0797</v>
      </c>
      <c r="C5" s="141">
        <f>'P&amp;L Analysis'!C10</f>
        <v>1133.2184</v>
      </c>
      <c r="D5" s="141">
        <f>'P&amp;L Analysis'!D10</f>
        <v>1876.2592000000002</v>
      </c>
      <c r="E5" s="141">
        <f>'P&amp;L Analysis'!E10</f>
        <v>3023.0765999999999</v>
      </c>
      <c r="F5" s="141">
        <f>'P&amp;L Analysis'!F10</f>
        <v>2122.9517000000001</v>
      </c>
      <c r="G5" s="141">
        <f>'P&amp;L Analysis'!G10</f>
        <v>2269.1478999999999</v>
      </c>
    </row>
    <row r="6" spans="1:7" x14ac:dyDescent="0.3">
      <c r="A6" s="147"/>
      <c r="B6" s="141"/>
      <c r="C6" s="117">
        <f t="shared" ref="C6:G6" si="0">C5/B5-1</f>
        <v>9.1648743347933603E-2</v>
      </c>
      <c r="D6" s="117">
        <f t="shared" si="0"/>
        <v>0.65569073004815337</v>
      </c>
      <c r="E6" s="117">
        <f t="shared" si="0"/>
        <v>0.61122546394442701</v>
      </c>
      <c r="F6" s="117">
        <f t="shared" si="0"/>
        <v>-0.29775127100649712</v>
      </c>
      <c r="G6" s="117">
        <f t="shared" si="0"/>
        <v>6.8864590748814347E-2</v>
      </c>
    </row>
    <row r="7" spans="1:7" x14ac:dyDescent="0.3">
      <c r="A7" s="202" t="s">
        <v>60</v>
      </c>
      <c r="B7" s="101"/>
      <c r="C7" s="101"/>
      <c r="D7" s="101"/>
      <c r="E7" s="101"/>
      <c r="F7" s="101"/>
      <c r="G7" s="101"/>
    </row>
    <row r="8" spans="1:7" x14ac:dyDescent="0.3">
      <c r="A8" s="101" t="s">
        <v>118</v>
      </c>
      <c r="B8" s="114"/>
      <c r="C8" s="114"/>
      <c r="D8" s="114">
        <f>19.45/(100)</f>
        <v>0.19450000000000001</v>
      </c>
      <c r="E8" s="114">
        <f>33.12/(100)</f>
        <v>0.33119999999999999</v>
      </c>
      <c r="F8" s="114">
        <f>196.98/(100)</f>
        <v>1.9698</v>
      </c>
      <c r="G8" s="114">
        <f>182.54/(100)</f>
        <v>1.8253999999999999</v>
      </c>
    </row>
    <row r="9" spans="1:7" x14ac:dyDescent="0.3">
      <c r="A9" s="116" t="s">
        <v>110</v>
      </c>
      <c r="B9" s="116"/>
      <c r="C9" s="117"/>
      <c r="D9" s="117"/>
      <c r="E9" s="117">
        <f t="shared" ref="E9:G9" si="1">E8/D8-1</f>
        <v>0.70282776349614395</v>
      </c>
      <c r="F9" s="117">
        <f t="shared" si="1"/>
        <v>4.9474637681159424</v>
      </c>
      <c r="G9" s="117">
        <f t="shared" si="1"/>
        <v>-7.3306934714184258E-2</v>
      </c>
    </row>
    <row r="10" spans="1:7" x14ac:dyDescent="0.3">
      <c r="A10" s="125" t="s">
        <v>112</v>
      </c>
      <c r="B10" s="126">
        <f>B8/B$5</f>
        <v>0</v>
      </c>
      <c r="C10" s="126">
        <f t="shared" ref="C10:G10" si="2">C8/C$5</f>
        <v>0</v>
      </c>
      <c r="D10" s="126">
        <f t="shared" si="2"/>
        <v>1.0366371554633815E-4</v>
      </c>
      <c r="E10" s="126">
        <f t="shared" si="2"/>
        <v>1.095572636168068E-4</v>
      </c>
      <c r="F10" s="126">
        <f t="shared" si="2"/>
        <v>9.2785907470245316E-4</v>
      </c>
      <c r="G10" s="126">
        <f t="shared" si="2"/>
        <v>8.0444293648730431E-4</v>
      </c>
    </row>
    <row r="11" spans="1:7" x14ac:dyDescent="0.3">
      <c r="A11" s="101"/>
      <c r="B11" s="101"/>
      <c r="C11" s="114"/>
      <c r="D11" s="114"/>
      <c r="E11" s="114"/>
      <c r="F11" s="114"/>
      <c r="G11" s="114"/>
    </row>
    <row r="12" spans="1:7" x14ac:dyDescent="0.3">
      <c r="A12" s="101" t="s">
        <v>119</v>
      </c>
      <c r="B12" s="114"/>
      <c r="C12" s="114"/>
      <c r="D12" s="114">
        <f>(27.75+9.5+9.75+1+2.5)/(100)</f>
        <v>0.505</v>
      </c>
      <c r="E12" s="114">
        <f>(31+11+10.5+9.2+3)/(100)</f>
        <v>0.64700000000000002</v>
      </c>
      <c r="F12" s="114">
        <f>(33.5+11.5+12+7.82+3.5)/(100)</f>
        <v>0.68319999999999992</v>
      </c>
      <c r="G12" s="114">
        <f>(102.74+19.4+12.75+4+3.5)/(100)</f>
        <v>1.4238999999999999</v>
      </c>
    </row>
    <row r="13" spans="1:7" x14ac:dyDescent="0.3">
      <c r="A13" s="116" t="s">
        <v>110</v>
      </c>
      <c r="B13" s="116"/>
      <c r="C13" s="117"/>
      <c r="D13" s="117"/>
      <c r="E13" s="117">
        <f t="shared" ref="E13:G13" si="3">E12/D12-1</f>
        <v>0.28118811881188122</v>
      </c>
      <c r="F13" s="117">
        <f t="shared" si="3"/>
        <v>5.5950540958268791E-2</v>
      </c>
      <c r="G13" s="117">
        <f t="shared" si="3"/>
        <v>1.0841627634660425</v>
      </c>
    </row>
    <row r="14" spans="1:7" x14ac:dyDescent="0.3">
      <c r="A14" s="125" t="s">
        <v>112</v>
      </c>
      <c r="B14" s="126">
        <f>B12/B$5</f>
        <v>0</v>
      </c>
      <c r="C14" s="126">
        <f t="shared" ref="C14:G14" si="4">C12/C$5</f>
        <v>0</v>
      </c>
      <c r="D14" s="126">
        <f t="shared" si="4"/>
        <v>2.6915257763959261E-4</v>
      </c>
      <c r="E14" s="126">
        <f t="shared" si="4"/>
        <v>2.1402037910650364E-4</v>
      </c>
      <c r="F14" s="126">
        <f t="shared" si="4"/>
        <v>3.2181608276815712E-4</v>
      </c>
      <c r="G14" s="126">
        <f t="shared" si="4"/>
        <v>6.2750427153734673E-4</v>
      </c>
    </row>
    <row r="15" spans="1:7" x14ac:dyDescent="0.3">
      <c r="A15" s="101"/>
      <c r="B15" s="101"/>
      <c r="C15" s="114"/>
      <c r="D15" s="114"/>
      <c r="E15" s="114"/>
      <c r="F15" s="114"/>
      <c r="G15" s="114"/>
    </row>
    <row r="16" spans="1:7" x14ac:dyDescent="0.3">
      <c r="A16" s="101" t="s">
        <v>120</v>
      </c>
      <c r="B16" s="114"/>
      <c r="C16" s="114"/>
      <c r="D16" s="114">
        <f>37.22/(100)</f>
        <v>0.37219999999999998</v>
      </c>
      <c r="E16" s="114">
        <f>40.87/(100)</f>
        <v>0.40869999999999995</v>
      </c>
      <c r="F16" s="114">
        <f>79.64/(100)</f>
        <v>0.7964</v>
      </c>
      <c r="G16" s="114">
        <f>72.46/(100)</f>
        <v>0.72459999999999991</v>
      </c>
    </row>
    <row r="17" spans="1:7" x14ac:dyDescent="0.3">
      <c r="A17" s="116" t="s">
        <v>110</v>
      </c>
      <c r="B17" s="116"/>
      <c r="C17" s="117"/>
      <c r="D17" s="117"/>
      <c r="E17" s="117">
        <f t="shared" ref="E17:G17" si="5">E16/D16-1</f>
        <v>9.8065556152606037E-2</v>
      </c>
      <c r="F17" s="117">
        <f t="shared" si="5"/>
        <v>0.94861756789821405</v>
      </c>
      <c r="G17" s="117">
        <f t="shared" si="5"/>
        <v>-9.015570065293832E-2</v>
      </c>
    </row>
    <row r="18" spans="1:7" x14ac:dyDescent="0.3">
      <c r="A18" s="125" t="s">
        <v>112</v>
      </c>
      <c r="B18" s="126">
        <f>B16/B$5</f>
        <v>0</v>
      </c>
      <c r="C18" s="126">
        <f t="shared" ref="C18:G18" si="6">C16/C$5</f>
        <v>0</v>
      </c>
      <c r="D18" s="126">
        <f t="shared" si="6"/>
        <v>1.9837344435139875E-4</v>
      </c>
      <c r="E18" s="126">
        <f t="shared" si="6"/>
        <v>1.3519339867206805E-4</v>
      </c>
      <c r="F18" s="126">
        <f t="shared" si="6"/>
        <v>3.7513806837904034E-4</v>
      </c>
      <c r="G18" s="126">
        <f t="shared" si="6"/>
        <v>3.1932691562326101E-4</v>
      </c>
    </row>
    <row r="19" spans="1:7" x14ac:dyDescent="0.3">
      <c r="A19" s="101"/>
      <c r="B19" s="101"/>
      <c r="C19" s="114"/>
      <c r="D19" s="114"/>
      <c r="E19" s="114"/>
      <c r="F19" s="114"/>
      <c r="G19" s="114"/>
    </row>
    <row r="20" spans="1:7" x14ac:dyDescent="0.3">
      <c r="A20" s="101" t="s">
        <v>121</v>
      </c>
      <c r="B20" s="114"/>
      <c r="C20" s="114"/>
      <c r="D20" s="114">
        <f>397.88/(100)</f>
        <v>3.9788000000000001</v>
      </c>
      <c r="E20" s="114">
        <f>478.05/(100)</f>
        <v>4.7805</v>
      </c>
      <c r="F20" s="114">
        <f>837.21/(100)</f>
        <v>8.3720999999999997</v>
      </c>
      <c r="G20" s="114">
        <f>1080.8/(100)</f>
        <v>10.808</v>
      </c>
    </row>
    <row r="21" spans="1:7" x14ac:dyDescent="0.3">
      <c r="A21" s="116" t="s">
        <v>110</v>
      </c>
      <c r="B21" s="116"/>
      <c r="C21" s="117"/>
      <c r="D21" s="117"/>
      <c r="E21" s="117">
        <f t="shared" ref="E21:G21" si="7">E20/D20-1</f>
        <v>0.20149291243591039</v>
      </c>
      <c r="F21" s="117">
        <f t="shared" si="7"/>
        <v>0.75130216504549718</v>
      </c>
      <c r="G21" s="117">
        <f t="shared" si="7"/>
        <v>0.29095447976015576</v>
      </c>
    </row>
    <row r="22" spans="1:7" x14ac:dyDescent="0.3">
      <c r="A22" s="125" t="s">
        <v>112</v>
      </c>
      <c r="B22" s="126">
        <f>B20/B$5</f>
        <v>0</v>
      </c>
      <c r="C22" s="126">
        <f t="shared" ref="C22:G22" si="8">C20/C$5</f>
        <v>0</v>
      </c>
      <c r="D22" s="126">
        <f t="shared" si="8"/>
        <v>2.1206025265592299E-3</v>
      </c>
      <c r="E22" s="126">
        <f t="shared" si="8"/>
        <v>1.5813360468603409E-3</v>
      </c>
      <c r="F22" s="126">
        <f t="shared" si="8"/>
        <v>3.9436130365094971E-3</v>
      </c>
      <c r="G22" s="126">
        <f t="shared" si="8"/>
        <v>4.7630213967101926E-3</v>
      </c>
    </row>
    <row r="23" spans="1:7" x14ac:dyDescent="0.3">
      <c r="A23" s="101"/>
      <c r="B23" s="101"/>
      <c r="C23" s="114"/>
      <c r="D23" s="114"/>
      <c r="E23" s="114"/>
      <c r="F23" s="114"/>
      <c r="G23" s="114"/>
    </row>
    <row r="24" spans="1:7" x14ac:dyDescent="0.3">
      <c r="A24" s="101" t="s">
        <v>122</v>
      </c>
      <c r="B24" s="114"/>
      <c r="C24" s="114"/>
      <c r="D24" s="114">
        <f>14.76/(100)</f>
        <v>0.14760000000000001</v>
      </c>
      <c r="E24" s="114">
        <f>37.71/(100)</f>
        <v>0.37709999999999999</v>
      </c>
      <c r="F24" s="114">
        <f>25.4/(100)</f>
        <v>0.254</v>
      </c>
      <c r="G24" s="114">
        <f>0/(100)</f>
        <v>0</v>
      </c>
    </row>
    <row r="25" spans="1:7" x14ac:dyDescent="0.3">
      <c r="A25" s="116" t="s">
        <v>110</v>
      </c>
      <c r="B25" s="116"/>
      <c r="C25" s="117"/>
      <c r="D25" s="117"/>
      <c r="E25" s="117">
        <f t="shared" ref="E25:G25" si="9">E24/D24-1</f>
        <v>1.5548780487804876</v>
      </c>
      <c r="F25" s="117">
        <f t="shared" si="9"/>
        <v>-0.32643861044815692</v>
      </c>
      <c r="G25" s="117">
        <f t="shared" si="9"/>
        <v>-1</v>
      </c>
    </row>
    <row r="26" spans="1:7" x14ac:dyDescent="0.3">
      <c r="A26" s="125" t="s">
        <v>112</v>
      </c>
      <c r="B26" s="126">
        <f>B24/B$5</f>
        <v>0</v>
      </c>
      <c r="C26" s="126">
        <f t="shared" ref="C26:G26" si="10">C24/C$5</f>
        <v>0</v>
      </c>
      <c r="D26" s="126">
        <f t="shared" si="10"/>
        <v>7.8667169226938368E-5</v>
      </c>
      <c r="E26" s="126">
        <f t="shared" si="10"/>
        <v>1.2474047134630991E-4</v>
      </c>
      <c r="F26" s="126">
        <f t="shared" si="10"/>
        <v>1.1964473803148701E-4</v>
      </c>
      <c r="G26" s="126">
        <f t="shared" si="10"/>
        <v>0</v>
      </c>
    </row>
    <row r="27" spans="1:7" x14ac:dyDescent="0.3">
      <c r="A27" s="101"/>
      <c r="B27" s="101"/>
      <c r="C27" s="114"/>
      <c r="D27" s="114"/>
      <c r="E27" s="114"/>
      <c r="F27" s="114"/>
      <c r="G27" s="114"/>
    </row>
    <row r="28" spans="1:7" x14ac:dyDescent="0.3">
      <c r="A28" s="101" t="s">
        <v>123</v>
      </c>
      <c r="B28" s="114"/>
      <c r="C28" s="114"/>
      <c r="D28" s="114">
        <f>22.65/(100)</f>
        <v>0.22649999999999998</v>
      </c>
      <c r="E28" s="114">
        <f>33.8/(100)</f>
        <v>0.33799999999999997</v>
      </c>
      <c r="F28" s="114">
        <f>35.15/(100)</f>
        <v>0.35149999999999998</v>
      </c>
      <c r="G28" s="114">
        <f>31.6/(100)</f>
        <v>0.316</v>
      </c>
    </row>
    <row r="29" spans="1:7" x14ac:dyDescent="0.3">
      <c r="A29" s="116" t="s">
        <v>110</v>
      </c>
      <c r="B29" s="116"/>
      <c r="C29" s="117"/>
      <c r="D29" s="117"/>
      <c r="E29" s="117">
        <f t="shared" ref="E29:G29" si="11">E28/D28-1</f>
        <v>0.49227373068432678</v>
      </c>
      <c r="F29" s="117">
        <f t="shared" si="11"/>
        <v>3.9940828402367012E-2</v>
      </c>
      <c r="G29" s="117">
        <f t="shared" si="11"/>
        <v>-0.10099573257467986</v>
      </c>
    </row>
    <row r="30" spans="1:7" x14ac:dyDescent="0.3">
      <c r="A30" s="125" t="s">
        <v>112</v>
      </c>
      <c r="B30" s="126">
        <f>B28/B$5</f>
        <v>0</v>
      </c>
      <c r="C30" s="126">
        <f t="shared" ref="C30:G30" si="12">C28/C$5</f>
        <v>0</v>
      </c>
      <c r="D30" s="126">
        <f t="shared" si="12"/>
        <v>1.2071892838686678E-4</v>
      </c>
      <c r="E30" s="126">
        <f t="shared" si="12"/>
        <v>1.1180662772488133E-4</v>
      </c>
      <c r="F30" s="126">
        <f t="shared" si="12"/>
        <v>1.6557135991365228E-4</v>
      </c>
      <c r="G30" s="126">
        <f t="shared" si="12"/>
        <v>1.3925932284977987E-4</v>
      </c>
    </row>
    <row r="31" spans="1:7" x14ac:dyDescent="0.3">
      <c r="A31" s="101"/>
      <c r="B31" s="101"/>
      <c r="C31" s="114"/>
      <c r="D31" s="114"/>
      <c r="E31" s="114"/>
      <c r="F31" s="114"/>
      <c r="G31" s="114"/>
    </row>
    <row r="32" spans="1:7" x14ac:dyDescent="0.3">
      <c r="A32" s="101" t="s">
        <v>124</v>
      </c>
      <c r="B32" s="114"/>
      <c r="C32" s="114"/>
      <c r="D32" s="114">
        <f>61.27/(100)</f>
        <v>0.61270000000000002</v>
      </c>
      <c r="E32" s="114">
        <f>71.39/(100)</f>
        <v>0.71389999999999998</v>
      </c>
      <c r="F32" s="114">
        <f>67.93/(100)</f>
        <v>0.67930000000000001</v>
      </c>
      <c r="G32" s="114">
        <f>99.87/(100)</f>
        <v>0.99870000000000003</v>
      </c>
    </row>
    <row r="33" spans="1:7" x14ac:dyDescent="0.3">
      <c r="A33" s="116" t="s">
        <v>110</v>
      </c>
      <c r="B33" s="116"/>
      <c r="C33" s="117"/>
      <c r="D33" s="117"/>
      <c r="E33" s="117">
        <f t="shared" ref="E33:G33" si="13">E32/D32-1</f>
        <v>0.1651705565529622</v>
      </c>
      <c r="F33" s="117">
        <f t="shared" si="13"/>
        <v>-4.8466171732735597E-2</v>
      </c>
      <c r="G33" s="117">
        <f t="shared" si="13"/>
        <v>0.47018990136905647</v>
      </c>
    </row>
    <row r="34" spans="1:7" x14ac:dyDescent="0.3">
      <c r="A34" s="125" t="s">
        <v>112</v>
      </c>
      <c r="B34" s="126">
        <f>B32/B$5</f>
        <v>0</v>
      </c>
      <c r="C34" s="126">
        <f t="shared" ref="C34:G34" si="14">C32/C$5</f>
        <v>0</v>
      </c>
      <c r="D34" s="126">
        <f t="shared" si="14"/>
        <v>3.2655402835599686E-4</v>
      </c>
      <c r="E34" s="126">
        <f t="shared" si="14"/>
        <v>2.3615015246388399E-4</v>
      </c>
      <c r="F34" s="126">
        <f t="shared" si="14"/>
        <v>3.1997901789287058E-4</v>
      </c>
      <c r="G34" s="126">
        <f t="shared" si="14"/>
        <v>4.4012115737365558E-4</v>
      </c>
    </row>
    <row r="35" spans="1:7" x14ac:dyDescent="0.3">
      <c r="A35" s="101"/>
      <c r="B35" s="101"/>
      <c r="C35" s="114"/>
      <c r="D35" s="114"/>
      <c r="E35" s="114"/>
      <c r="F35" s="114"/>
      <c r="G35" s="114"/>
    </row>
    <row r="36" spans="1:7" x14ac:dyDescent="0.3">
      <c r="A36" s="101" t="s">
        <v>125</v>
      </c>
      <c r="B36" s="114"/>
      <c r="C36" s="114"/>
      <c r="D36" s="114">
        <f>0/(100)</f>
        <v>0</v>
      </c>
      <c r="E36" s="114">
        <f>110.05/(100)</f>
        <v>1.1005</v>
      </c>
      <c r="F36" s="114">
        <f>76.98/(100)</f>
        <v>0.76980000000000004</v>
      </c>
      <c r="G36" s="114">
        <f>60.58/(100)</f>
        <v>0.60580000000000001</v>
      </c>
    </row>
    <row r="37" spans="1:7" x14ac:dyDescent="0.3">
      <c r="A37" s="116" t="s">
        <v>110</v>
      </c>
      <c r="B37" s="116"/>
      <c r="C37" s="117"/>
      <c r="D37" s="117"/>
      <c r="E37" s="117">
        <f>IFERROR(E36/D36-1,0)</f>
        <v>0</v>
      </c>
      <c r="F37" s="117">
        <f t="shared" ref="F37:G37" si="15">F36/E36-1</f>
        <v>-0.30049977283053153</v>
      </c>
      <c r="G37" s="117">
        <f t="shared" si="15"/>
        <v>-0.21304234866199012</v>
      </c>
    </row>
    <row r="38" spans="1:7" x14ac:dyDescent="0.3">
      <c r="A38" s="125" t="s">
        <v>112</v>
      </c>
      <c r="B38" s="126">
        <f>B36/B$5</f>
        <v>0</v>
      </c>
      <c r="C38" s="126">
        <f t="shared" ref="C38:G38" si="16">C36/C$5</f>
        <v>0</v>
      </c>
      <c r="D38" s="126">
        <f t="shared" si="16"/>
        <v>0</v>
      </c>
      <c r="E38" s="126">
        <f t="shared" si="16"/>
        <v>3.6403311778470982E-4</v>
      </c>
      <c r="F38" s="126">
        <f t="shared" si="16"/>
        <v>3.6260834384503425E-4</v>
      </c>
      <c r="G38" s="126">
        <f t="shared" si="16"/>
        <v>2.6697246133669826E-4</v>
      </c>
    </row>
    <row r="39" spans="1:7" x14ac:dyDescent="0.3">
      <c r="A39" s="101"/>
      <c r="B39" s="101"/>
      <c r="C39" s="114"/>
      <c r="D39" s="114"/>
      <c r="E39" s="114"/>
      <c r="F39" s="114"/>
      <c r="G39" s="114"/>
    </row>
    <row r="40" spans="1:7" x14ac:dyDescent="0.3">
      <c r="A40" s="101" t="s">
        <v>126</v>
      </c>
      <c r="B40" s="114"/>
      <c r="C40" s="114"/>
      <c r="D40" s="114">
        <f>9969.35/(100)</f>
        <v>99.6935</v>
      </c>
      <c r="E40" s="114">
        <f>10362.44/(100)</f>
        <v>103.62440000000001</v>
      </c>
      <c r="F40" s="114">
        <f>4315.84/(100)</f>
        <v>43.1584</v>
      </c>
      <c r="G40" s="114">
        <f>6857.71/(100)</f>
        <v>68.577100000000002</v>
      </c>
    </row>
    <row r="41" spans="1:7" x14ac:dyDescent="0.3">
      <c r="A41" s="116" t="s">
        <v>110</v>
      </c>
      <c r="B41" s="116"/>
      <c r="C41" s="117"/>
      <c r="D41" s="117"/>
      <c r="E41" s="117">
        <f t="shared" ref="E41:G41" si="17">E40/D40-1</f>
        <v>3.9429852497906204E-2</v>
      </c>
      <c r="F41" s="117">
        <f t="shared" si="17"/>
        <v>-0.58351121936532324</v>
      </c>
      <c r="G41" s="117">
        <f t="shared" si="17"/>
        <v>0.58896298287239568</v>
      </c>
    </row>
    <row r="42" spans="1:7" x14ac:dyDescent="0.3">
      <c r="A42" s="125" t="s">
        <v>112</v>
      </c>
      <c r="B42" s="126">
        <f>B40/B$5</f>
        <v>0</v>
      </c>
      <c r="C42" s="126">
        <f t="shared" ref="C42:G42" si="18">C40/C$5</f>
        <v>0</v>
      </c>
      <c r="D42" s="148">
        <f t="shared" si="18"/>
        <v>5.3134183166163813E-2</v>
      </c>
      <c r="E42" s="148">
        <f t="shared" si="18"/>
        <v>3.4277795011876319E-2</v>
      </c>
      <c r="F42" s="148">
        <f t="shared" si="18"/>
        <v>2.0329430952197358E-2</v>
      </c>
      <c r="G42" s="148">
        <f t="shared" si="18"/>
        <v>3.0221520598106455E-2</v>
      </c>
    </row>
    <row r="43" spans="1:7" x14ac:dyDescent="0.3">
      <c r="A43" s="101"/>
      <c r="B43" s="101"/>
      <c r="C43" s="114"/>
      <c r="D43" s="114"/>
      <c r="E43" s="114"/>
      <c r="F43" s="114"/>
      <c r="G43" s="114"/>
    </row>
    <row r="44" spans="1:7" x14ac:dyDescent="0.3">
      <c r="A44" s="101" t="s">
        <v>127</v>
      </c>
      <c r="B44" s="114"/>
      <c r="C44" s="114"/>
      <c r="D44" s="114">
        <f>335.95/(100)</f>
        <v>3.3594999999999997</v>
      </c>
      <c r="E44" s="114">
        <f>577.14/(100)</f>
        <v>5.7713999999999999</v>
      </c>
      <c r="F44" s="114">
        <f>571.77/(100)</f>
        <v>5.7176999999999998</v>
      </c>
      <c r="G44" s="114">
        <f>632.34/(100)</f>
        <v>6.3234000000000004</v>
      </c>
    </row>
    <row r="45" spans="1:7" x14ac:dyDescent="0.3">
      <c r="A45" s="116" t="s">
        <v>110</v>
      </c>
      <c r="B45" s="116"/>
      <c r="C45" s="117"/>
      <c r="D45" s="117"/>
      <c r="E45" s="117">
        <f t="shared" ref="E45:G45" si="19">E44/D44-1</f>
        <v>0.71793421640125032</v>
      </c>
      <c r="F45" s="117">
        <f t="shared" si="19"/>
        <v>-9.3045015074332271E-3</v>
      </c>
      <c r="G45" s="117">
        <f t="shared" si="19"/>
        <v>0.10593420431292322</v>
      </c>
    </row>
    <row r="46" spans="1:7" x14ac:dyDescent="0.3">
      <c r="A46" s="125" t="s">
        <v>112</v>
      </c>
      <c r="B46" s="126">
        <f>B44/B$5</f>
        <v>0</v>
      </c>
      <c r="C46" s="126">
        <f t="shared" ref="C46:G46" si="20">C44/C$5</f>
        <v>0</v>
      </c>
      <c r="D46" s="126">
        <f t="shared" si="20"/>
        <v>1.7905308605548739E-3</v>
      </c>
      <c r="E46" s="126">
        <f t="shared" si="20"/>
        <v>1.90911470784432E-3</v>
      </c>
      <c r="F46" s="126">
        <f t="shared" si="20"/>
        <v>2.6932784198528867E-3</v>
      </c>
      <c r="G46" s="126">
        <f t="shared" si="20"/>
        <v>2.7866848167984117E-3</v>
      </c>
    </row>
    <row r="47" spans="1:7" x14ac:dyDescent="0.3">
      <c r="A47" s="101"/>
      <c r="B47" s="101"/>
      <c r="C47" s="114"/>
      <c r="D47" s="114"/>
      <c r="E47" s="114"/>
      <c r="F47" s="114"/>
      <c r="G47" s="114"/>
    </row>
    <row r="48" spans="1:7" x14ac:dyDescent="0.3">
      <c r="A48" s="101" t="s">
        <v>128</v>
      </c>
      <c r="B48" s="114"/>
      <c r="C48" s="114"/>
      <c r="D48" s="114">
        <f>92.73/(100)</f>
        <v>0.92730000000000001</v>
      </c>
      <c r="E48" s="114">
        <f>136.15/(100)</f>
        <v>1.3615000000000002</v>
      </c>
      <c r="F48" s="114">
        <f>167.41/(100)</f>
        <v>1.6740999999999999</v>
      </c>
      <c r="G48" s="114">
        <f>171.88/(100)</f>
        <v>1.7187999999999999</v>
      </c>
    </row>
    <row r="49" spans="1:7" x14ac:dyDescent="0.3">
      <c r="A49" s="116" t="s">
        <v>110</v>
      </c>
      <c r="B49" s="116"/>
      <c r="C49" s="117"/>
      <c r="D49" s="117"/>
      <c r="E49" s="117">
        <f t="shared" ref="E49:G49" si="21">E48/D48-1</f>
        <v>0.46824113016283841</v>
      </c>
      <c r="F49" s="117">
        <f t="shared" si="21"/>
        <v>0.22959970620638992</v>
      </c>
      <c r="G49" s="117">
        <f t="shared" si="21"/>
        <v>2.6700913923899394E-2</v>
      </c>
    </row>
    <row r="50" spans="1:7" x14ac:dyDescent="0.3">
      <c r="A50" s="125" t="s">
        <v>112</v>
      </c>
      <c r="B50" s="126">
        <f>B48/B$5</f>
        <v>0</v>
      </c>
      <c r="C50" s="126">
        <f t="shared" ref="C50:G50" si="22">C48/C$5</f>
        <v>0</v>
      </c>
      <c r="D50" s="126">
        <f t="shared" si="22"/>
        <v>4.9422808959444404E-4</v>
      </c>
      <c r="E50" s="126">
        <f t="shared" si="22"/>
        <v>4.5036900487404133E-4</v>
      </c>
      <c r="F50" s="126">
        <f t="shared" si="22"/>
        <v>7.8857187377367078E-4</v>
      </c>
      <c r="G50" s="126">
        <f t="shared" si="22"/>
        <v>7.5746494972848619E-4</v>
      </c>
    </row>
    <row r="51" spans="1:7" x14ac:dyDescent="0.3">
      <c r="A51" s="101"/>
      <c r="B51" s="101"/>
      <c r="C51" s="114"/>
      <c r="D51" s="114"/>
      <c r="E51" s="114"/>
      <c r="F51" s="114"/>
      <c r="G51" s="114"/>
    </row>
    <row r="52" spans="1:7" x14ac:dyDescent="0.3">
      <c r="A52" s="101" t="s">
        <v>129</v>
      </c>
      <c r="B52" s="114"/>
      <c r="C52" s="114"/>
      <c r="D52" s="114">
        <f>548.38/(100)</f>
        <v>5.4837999999999996</v>
      </c>
      <c r="E52" s="114">
        <f>825.38/(100)</f>
        <v>8.2538</v>
      </c>
      <c r="F52" s="114">
        <f>2287.84/(100)</f>
        <v>22.878400000000003</v>
      </c>
      <c r="G52" s="114">
        <f>1145.46/(100)</f>
        <v>11.454600000000001</v>
      </c>
    </row>
    <row r="53" spans="1:7" x14ac:dyDescent="0.3">
      <c r="A53" s="116" t="s">
        <v>110</v>
      </c>
      <c r="B53" s="116"/>
      <c r="C53" s="117"/>
      <c r="D53" s="117"/>
      <c r="E53" s="117">
        <f t="shared" ref="E53:G53" si="23">E52/D52-1</f>
        <v>0.50512418396002778</v>
      </c>
      <c r="F53" s="117">
        <f t="shared" si="23"/>
        <v>1.77186265720032</v>
      </c>
      <c r="G53" s="117">
        <f t="shared" si="23"/>
        <v>-0.49932687600531511</v>
      </c>
    </row>
    <row r="54" spans="1:7" x14ac:dyDescent="0.3">
      <c r="A54" s="125" t="s">
        <v>112</v>
      </c>
      <c r="B54" s="126">
        <f>B52/B$5</f>
        <v>0</v>
      </c>
      <c r="C54" s="126">
        <f t="shared" ref="C54:G54" si="24">C52/C$5</f>
        <v>0</v>
      </c>
      <c r="D54" s="126">
        <f t="shared" si="24"/>
        <v>2.9227305054653424E-3</v>
      </c>
      <c r="E54" s="126">
        <f t="shared" si="24"/>
        <v>2.7302649228272947E-3</v>
      </c>
      <c r="F54" s="126">
        <f t="shared" si="24"/>
        <v>1.0776693600706979E-2</v>
      </c>
      <c r="G54" s="126">
        <f t="shared" si="24"/>
        <v>5.0479741756806603E-3</v>
      </c>
    </row>
    <row r="55" spans="1:7" x14ac:dyDescent="0.3">
      <c r="A55" s="125"/>
      <c r="B55" s="126"/>
      <c r="C55" s="126"/>
      <c r="D55" s="126"/>
      <c r="E55" s="126"/>
      <c r="F55" s="126"/>
      <c r="G55" s="126"/>
    </row>
    <row r="56" spans="1:7" x14ac:dyDescent="0.3">
      <c r="A56" s="101" t="s">
        <v>130</v>
      </c>
      <c r="B56" s="114"/>
      <c r="C56" s="114"/>
      <c r="D56" s="114">
        <f>288.8/(100)</f>
        <v>2.8879999999999999</v>
      </c>
      <c r="E56" s="114">
        <f>349.42/(100)</f>
        <v>3.4942000000000002</v>
      </c>
      <c r="F56" s="114">
        <f>368.55/(100)</f>
        <v>3.6855000000000002</v>
      </c>
      <c r="G56" s="114">
        <f>583.91/(100)</f>
        <v>5.8390999999999993</v>
      </c>
    </row>
    <row r="57" spans="1:7" x14ac:dyDescent="0.3">
      <c r="A57" s="116" t="s">
        <v>110</v>
      </c>
      <c r="B57" s="116"/>
      <c r="C57" s="117"/>
      <c r="D57" s="117"/>
      <c r="E57" s="117">
        <f t="shared" ref="E57:G57" si="25">E56/D56-1</f>
        <v>0.20990304709141294</v>
      </c>
      <c r="F57" s="117">
        <f t="shared" si="25"/>
        <v>5.4747867895369451E-2</v>
      </c>
      <c r="G57" s="117">
        <f t="shared" si="25"/>
        <v>0.5843440510107174</v>
      </c>
    </row>
    <row r="58" spans="1:7" x14ac:dyDescent="0.3">
      <c r="A58" s="125" t="s">
        <v>112</v>
      </c>
      <c r="B58" s="126">
        <f>B56/B$5</f>
        <v>0</v>
      </c>
      <c r="C58" s="126">
        <f t="shared" ref="C58:G58" si="26">C56/C$5</f>
        <v>0</v>
      </c>
      <c r="D58" s="126">
        <f t="shared" si="26"/>
        <v>1.5392329588577098E-3</v>
      </c>
      <c r="E58" s="126">
        <f t="shared" si="26"/>
        <v>1.1558423627108887E-3</v>
      </c>
      <c r="F58" s="126">
        <f t="shared" si="26"/>
        <v>1.7360263071458479E-3</v>
      </c>
      <c r="G58" s="126">
        <f t="shared" si="26"/>
        <v>2.5732566837093338E-3</v>
      </c>
    </row>
    <row r="59" spans="1:7" x14ac:dyDescent="0.3">
      <c r="A59" s="101"/>
      <c r="B59" s="101"/>
      <c r="C59" s="114"/>
      <c r="D59" s="114"/>
      <c r="E59" s="114"/>
      <c r="F59" s="114"/>
      <c r="G59" s="114"/>
    </row>
    <row r="60" spans="1:7" x14ac:dyDescent="0.3">
      <c r="A60" s="101" t="s">
        <v>131</v>
      </c>
      <c r="B60" s="114"/>
      <c r="C60" s="114"/>
      <c r="D60" s="114">
        <f>109.38/(100)</f>
        <v>1.0937999999999999</v>
      </c>
      <c r="E60" s="114">
        <f>166.55/(100)</f>
        <v>1.6655000000000002</v>
      </c>
      <c r="F60" s="114">
        <f>159.36/(100)</f>
        <v>1.5936000000000001</v>
      </c>
      <c r="G60" s="114">
        <f>339.37/(100)</f>
        <v>3.3936999999999999</v>
      </c>
    </row>
    <row r="61" spans="1:7" x14ac:dyDescent="0.3">
      <c r="A61" s="116" t="s">
        <v>110</v>
      </c>
      <c r="B61" s="116"/>
      <c r="C61" s="117"/>
      <c r="D61" s="117"/>
      <c r="E61" s="117">
        <f t="shared" ref="E61:G61" si="27">E60/D60-1</f>
        <v>0.52267324922289293</v>
      </c>
      <c r="F61" s="117">
        <f t="shared" si="27"/>
        <v>-4.3170219153407463E-2</v>
      </c>
      <c r="G61" s="117">
        <f t="shared" si="27"/>
        <v>1.1295808232931726</v>
      </c>
    </row>
    <row r="62" spans="1:7" x14ac:dyDescent="0.3">
      <c r="A62" s="125" t="s">
        <v>112</v>
      </c>
      <c r="B62" s="126">
        <f>B60/B$5</f>
        <v>0</v>
      </c>
      <c r="C62" s="126">
        <f t="shared" ref="C62:G62" si="28">C60/C$5</f>
        <v>0</v>
      </c>
      <c r="D62" s="126">
        <f t="shared" si="28"/>
        <v>5.8296849390531954E-4</v>
      </c>
      <c r="E62" s="126">
        <f t="shared" si="28"/>
        <v>5.5092881205854997E-4</v>
      </c>
      <c r="F62" s="126">
        <f t="shared" si="28"/>
        <v>7.5065297057865237E-4</v>
      </c>
      <c r="G62" s="126">
        <f t="shared" si="28"/>
        <v>1.4955834302382847E-3</v>
      </c>
    </row>
    <row r="63" spans="1:7" x14ac:dyDescent="0.3">
      <c r="A63" s="101"/>
      <c r="B63" s="101"/>
      <c r="C63" s="114"/>
      <c r="D63" s="114"/>
      <c r="E63" s="114"/>
      <c r="F63" s="114"/>
      <c r="G63" s="114"/>
    </row>
    <row r="64" spans="1:7" x14ac:dyDescent="0.3">
      <c r="A64" s="101" t="s">
        <v>132</v>
      </c>
      <c r="B64" s="114"/>
      <c r="C64" s="114"/>
      <c r="D64" s="114">
        <f>7729.98/(100)</f>
        <v>77.299799999999991</v>
      </c>
      <c r="E64" s="114">
        <f>9762.97/(100)</f>
        <v>97.6297</v>
      </c>
      <c r="F64" s="114">
        <f>8900.85/(100)</f>
        <v>89.008499999999998</v>
      </c>
      <c r="G64" s="114">
        <f>10278.82/(100)</f>
        <v>102.7882</v>
      </c>
    </row>
    <row r="65" spans="1:7" x14ac:dyDescent="0.3">
      <c r="A65" s="116" t="s">
        <v>110</v>
      </c>
      <c r="B65" s="116"/>
      <c r="C65" s="117"/>
      <c r="D65" s="117"/>
      <c r="E65" s="117">
        <f t="shared" ref="E65:G65" si="29">E64/D64-1</f>
        <v>0.26300068046747871</v>
      </c>
      <c r="F65" s="117">
        <f t="shared" si="29"/>
        <v>-8.8305095682973511E-2</v>
      </c>
      <c r="G65" s="117">
        <f t="shared" si="29"/>
        <v>0.15481330434733764</v>
      </c>
    </row>
    <row r="66" spans="1:7" x14ac:dyDescent="0.3">
      <c r="A66" s="125" t="s">
        <v>112</v>
      </c>
      <c r="B66" s="126">
        <f>B64/B$5</f>
        <v>0</v>
      </c>
      <c r="C66" s="126">
        <f t="shared" ref="C66:G66" si="30">C64/C$5</f>
        <v>0</v>
      </c>
      <c r="D66" s="148">
        <f t="shared" si="30"/>
        <v>4.1198891922821744E-2</v>
      </c>
      <c r="E66" s="148">
        <f t="shared" si="30"/>
        <v>3.22948151561889E-2</v>
      </c>
      <c r="F66" s="148">
        <f t="shared" si="30"/>
        <v>4.1926766397935473E-2</v>
      </c>
      <c r="G66" s="148">
        <f t="shared" si="30"/>
        <v>4.5298149142239695E-2</v>
      </c>
    </row>
    <row r="67" spans="1:7" x14ac:dyDescent="0.3">
      <c r="A67" s="101"/>
      <c r="B67" s="101"/>
      <c r="C67" s="114"/>
      <c r="D67" s="114"/>
      <c r="E67" s="114"/>
      <c r="F67" s="114"/>
      <c r="G67" s="114"/>
    </row>
    <row r="68" spans="1:7" x14ac:dyDescent="0.3">
      <c r="A68" s="101" t="s">
        <v>133</v>
      </c>
      <c r="B68" s="114"/>
      <c r="C68" s="114"/>
      <c r="D68" s="114">
        <f>35.83/(100)</f>
        <v>0.35830000000000001</v>
      </c>
      <c r="E68" s="114">
        <f>45.93/(100)</f>
        <v>0.45929999999999999</v>
      </c>
      <c r="F68" s="114">
        <f>43.65/(100)</f>
        <v>0.4365</v>
      </c>
      <c r="G68" s="114">
        <f>45.11/(100)</f>
        <v>0.4511</v>
      </c>
    </row>
    <row r="69" spans="1:7" x14ac:dyDescent="0.3">
      <c r="A69" s="116" t="s">
        <v>110</v>
      </c>
      <c r="B69" s="116"/>
      <c r="C69" s="117"/>
      <c r="D69" s="117"/>
      <c r="E69" s="117">
        <f t="shared" ref="E69:G69" si="31">E68/D68-1</f>
        <v>0.2818866871336867</v>
      </c>
      <c r="F69" s="117">
        <f t="shared" si="31"/>
        <v>-4.9640757674722424E-2</v>
      </c>
      <c r="G69" s="117">
        <f t="shared" si="31"/>
        <v>3.3447880870561386E-2</v>
      </c>
    </row>
    <row r="70" spans="1:7" x14ac:dyDescent="0.3">
      <c r="A70" s="125" t="s">
        <v>112</v>
      </c>
      <c r="B70" s="126">
        <f>B68/B$5</f>
        <v>0</v>
      </c>
      <c r="C70" s="126">
        <f t="shared" ref="C70:G70" si="32">C68/C$5</f>
        <v>0</v>
      </c>
      <c r="D70" s="126">
        <f t="shared" si="32"/>
        <v>1.9096508627379415E-4</v>
      </c>
      <c r="E70" s="126">
        <f t="shared" si="32"/>
        <v>1.5193131394685799E-4</v>
      </c>
      <c r="F70" s="126">
        <f t="shared" si="32"/>
        <v>2.0560995334938613E-4</v>
      </c>
      <c r="G70" s="126">
        <f t="shared" si="32"/>
        <v>1.9879709030865727E-4</v>
      </c>
    </row>
    <row r="71" spans="1:7" x14ac:dyDescent="0.3">
      <c r="A71" s="101"/>
      <c r="B71" s="101"/>
      <c r="C71" s="114"/>
      <c r="D71" s="114"/>
      <c r="E71" s="114"/>
      <c r="F71" s="114"/>
      <c r="G71" s="114"/>
    </row>
    <row r="72" spans="1:7" x14ac:dyDescent="0.3">
      <c r="A72" s="101" t="s">
        <v>134</v>
      </c>
      <c r="B72" s="114"/>
      <c r="C72" s="114"/>
      <c r="D72" s="114">
        <f>1.14/(100)</f>
        <v>1.1399999999999999E-2</v>
      </c>
      <c r="E72" s="114">
        <f>3.08/(100)</f>
        <v>3.0800000000000001E-2</v>
      </c>
      <c r="F72" s="114">
        <f>28.38/(100)</f>
        <v>0.2838</v>
      </c>
      <c r="G72" s="114">
        <f>23.52/(100)</f>
        <v>0.23519999999999999</v>
      </c>
    </row>
    <row r="73" spans="1:7" x14ac:dyDescent="0.3">
      <c r="A73" s="116" t="s">
        <v>110</v>
      </c>
      <c r="B73" s="116"/>
      <c r="C73" s="117"/>
      <c r="D73" s="117"/>
      <c r="E73" s="117">
        <f t="shared" ref="E73:G73" si="33">E72/D72-1</f>
        <v>1.7017543859649127</v>
      </c>
      <c r="F73" s="117">
        <f t="shared" si="33"/>
        <v>8.2142857142857135</v>
      </c>
      <c r="G73" s="117">
        <f t="shared" si="33"/>
        <v>-0.17124735729386897</v>
      </c>
    </row>
    <row r="74" spans="1:7" x14ac:dyDescent="0.3">
      <c r="A74" s="125" t="s">
        <v>112</v>
      </c>
      <c r="B74" s="126">
        <f>B72/B$5</f>
        <v>0</v>
      </c>
      <c r="C74" s="126">
        <f t="shared" ref="C74:G74" si="34">C72/C$5</f>
        <v>0</v>
      </c>
      <c r="D74" s="126">
        <f t="shared" si="34"/>
        <v>6.0759195744383275E-6</v>
      </c>
      <c r="E74" s="126">
        <f t="shared" si="34"/>
        <v>1.0188296254219957E-5</v>
      </c>
      <c r="F74" s="126">
        <f t="shared" si="34"/>
        <v>1.3368179784777957E-4</v>
      </c>
      <c r="G74" s="126">
        <f t="shared" si="34"/>
        <v>1.0365124282996274E-4</v>
      </c>
    </row>
    <row r="75" spans="1:7" x14ac:dyDescent="0.3">
      <c r="A75" s="101"/>
      <c r="B75" s="101"/>
      <c r="C75" s="114"/>
      <c r="D75" s="114"/>
      <c r="E75" s="114"/>
      <c r="F75" s="114"/>
      <c r="G75" s="114"/>
    </row>
    <row r="76" spans="1:7" x14ac:dyDescent="0.3">
      <c r="A76" s="101" t="s">
        <v>135</v>
      </c>
      <c r="B76" s="114"/>
      <c r="C76" s="114"/>
      <c r="D76" s="114">
        <f>(20.31+25+120.73)/(100)</f>
        <v>1.6604000000000001</v>
      </c>
      <c r="E76" s="114">
        <f>79.14/(100)</f>
        <v>0.79139999999999999</v>
      </c>
      <c r="F76" s="114">
        <f>63.43/(100)</f>
        <v>0.63429999999999997</v>
      </c>
      <c r="G76" s="114">
        <f>0/(100)</f>
        <v>0</v>
      </c>
    </row>
    <row r="77" spans="1:7" x14ac:dyDescent="0.3">
      <c r="A77" s="116" t="s">
        <v>110</v>
      </c>
      <c r="B77" s="116"/>
      <c r="C77" s="117"/>
      <c r="D77" s="117"/>
      <c r="E77" s="117">
        <f t="shared" ref="E77:G77" si="35">E76/D76-1</f>
        <v>-0.52336786316550232</v>
      </c>
      <c r="F77" s="117">
        <f t="shared" si="35"/>
        <v>-0.19850897144301238</v>
      </c>
      <c r="G77" s="117">
        <f t="shared" si="35"/>
        <v>-1</v>
      </c>
    </row>
    <row r="78" spans="1:7" x14ac:dyDescent="0.3">
      <c r="A78" s="125" t="s">
        <v>112</v>
      </c>
      <c r="B78" s="126">
        <f>B76/B$5</f>
        <v>0</v>
      </c>
      <c r="C78" s="126">
        <f t="shared" ref="C78:G78" si="36">C76/C$5</f>
        <v>0</v>
      </c>
      <c r="D78" s="126">
        <f t="shared" si="36"/>
        <v>8.849523562629299E-4</v>
      </c>
      <c r="E78" s="126">
        <f t="shared" si="36"/>
        <v>2.6178628751914523E-4</v>
      </c>
      <c r="F78" s="126">
        <f t="shared" si="36"/>
        <v>2.9878211548571733E-4</v>
      </c>
      <c r="G78" s="126">
        <f t="shared" si="36"/>
        <v>0</v>
      </c>
    </row>
    <row r="79" spans="1:7" x14ac:dyDescent="0.3">
      <c r="A79" s="101"/>
      <c r="B79" s="101"/>
      <c r="C79" s="114"/>
      <c r="D79" s="114"/>
      <c r="E79" s="114"/>
      <c r="F79" s="114"/>
      <c r="G79" s="114"/>
    </row>
    <row r="80" spans="1:7" x14ac:dyDescent="0.3">
      <c r="A80" s="101" t="s">
        <v>136</v>
      </c>
      <c r="B80" s="114"/>
      <c r="C80" s="114"/>
      <c r="D80" s="114">
        <f>512.06/(100)</f>
        <v>5.1205999999999996</v>
      </c>
      <c r="E80" s="114">
        <f>1479.22/(100)</f>
        <v>14.792200000000001</v>
      </c>
      <c r="F80" s="114">
        <f>2217.22/(100)</f>
        <v>22.172199999999997</v>
      </c>
      <c r="G80" s="114">
        <f>1678.68/(100)</f>
        <v>16.786799999999999</v>
      </c>
    </row>
    <row r="81" spans="1:7" x14ac:dyDescent="0.3">
      <c r="A81" s="116" t="s">
        <v>110</v>
      </c>
      <c r="B81" s="116"/>
      <c r="C81" s="117"/>
      <c r="D81" s="117"/>
      <c r="E81" s="117">
        <f t="shared" ref="E81:G81" si="37">E80/D80-1</f>
        <v>1.8887630355817682</v>
      </c>
      <c r="F81" s="117">
        <f t="shared" si="37"/>
        <v>0.4989115885399058</v>
      </c>
      <c r="G81" s="117">
        <f t="shared" si="37"/>
        <v>-0.24288974481557979</v>
      </c>
    </row>
    <row r="82" spans="1:7" x14ac:dyDescent="0.3">
      <c r="A82" s="125" t="s">
        <v>112</v>
      </c>
      <c r="B82" s="126">
        <f>B80/B$5</f>
        <v>0</v>
      </c>
      <c r="C82" s="126">
        <f t="shared" ref="C82:G82" si="38">C80/C$5</f>
        <v>0</v>
      </c>
      <c r="D82" s="126">
        <f t="shared" si="38"/>
        <v>2.7291538397253424E-3</v>
      </c>
      <c r="E82" s="126">
        <f t="shared" si="38"/>
        <v>4.8930946705088461E-3</v>
      </c>
      <c r="F82" s="126">
        <f t="shared" si="38"/>
        <v>1.0444043545597385E-2</v>
      </c>
      <c r="G82" s="126">
        <f t="shared" si="38"/>
        <v>7.3978430405527993E-3</v>
      </c>
    </row>
    <row r="83" spans="1:7" x14ac:dyDescent="0.3">
      <c r="A83" s="125"/>
      <c r="B83" s="126"/>
      <c r="C83" s="126"/>
      <c r="D83" s="126"/>
      <c r="E83" s="126"/>
      <c r="F83" s="126"/>
      <c r="G83" s="126"/>
    </row>
    <row r="84" spans="1:7" x14ac:dyDescent="0.3">
      <c r="A84" s="101" t="s">
        <v>137</v>
      </c>
      <c r="B84" s="101"/>
      <c r="C84" s="114"/>
      <c r="D84" s="114"/>
      <c r="E84" s="114"/>
      <c r="F84" s="114"/>
      <c r="G84" s="114"/>
    </row>
    <row r="85" spans="1:7" x14ac:dyDescent="0.3">
      <c r="A85" s="101" t="s">
        <v>138</v>
      </c>
      <c r="B85" s="114"/>
      <c r="C85" s="114"/>
      <c r="D85" s="114">
        <f>118.16/(100)</f>
        <v>1.1816</v>
      </c>
      <c r="E85" s="114">
        <f>175.85/(100)</f>
        <v>1.7585</v>
      </c>
      <c r="F85" s="114">
        <f>111.97/(100)</f>
        <v>1.1196999999999999</v>
      </c>
      <c r="G85" s="114">
        <f>126.13/(100)</f>
        <v>1.2612999999999999</v>
      </c>
    </row>
    <row r="86" spans="1:7" x14ac:dyDescent="0.3">
      <c r="A86" s="116" t="s">
        <v>110</v>
      </c>
      <c r="B86" s="116"/>
      <c r="C86" s="117"/>
      <c r="D86" s="117"/>
      <c r="E86" s="117">
        <f t="shared" ref="E86:G86" si="39">E85/D85-1</f>
        <v>0.48823628977657418</v>
      </c>
      <c r="F86" s="117">
        <f t="shared" si="39"/>
        <v>-0.36326414557861819</v>
      </c>
      <c r="G86" s="117">
        <f t="shared" si="39"/>
        <v>0.12646244529784756</v>
      </c>
    </row>
    <row r="87" spans="1:7" x14ac:dyDescent="0.3">
      <c r="A87" s="125" t="s">
        <v>112</v>
      </c>
      <c r="B87" s="126">
        <f>B85/B$5</f>
        <v>0</v>
      </c>
      <c r="C87" s="126">
        <f t="shared" ref="C87:G87" si="40">C85/C$5</f>
        <v>0</v>
      </c>
      <c r="D87" s="126">
        <f t="shared" si="40"/>
        <v>6.2976373413652011E-4</v>
      </c>
      <c r="E87" s="126">
        <f t="shared" si="40"/>
        <v>5.8169217412486337E-4</v>
      </c>
      <c r="F87" s="126">
        <f t="shared" si="40"/>
        <v>5.2742603611754331E-4</v>
      </c>
      <c r="G87" s="126">
        <f t="shared" si="40"/>
        <v>5.5584741743806116E-4</v>
      </c>
    </row>
    <row r="88" spans="1:7" x14ac:dyDescent="0.3">
      <c r="A88" s="101" t="s">
        <v>139</v>
      </c>
      <c r="B88" s="114"/>
      <c r="C88" s="114"/>
      <c r="D88" s="114">
        <f>878.11/(100)</f>
        <v>8.7811000000000003</v>
      </c>
      <c r="E88" s="114">
        <f>1028.62/(100)</f>
        <v>10.286199999999999</v>
      </c>
      <c r="F88" s="114">
        <f>1428.82/(100)</f>
        <v>14.2882</v>
      </c>
      <c r="G88" s="114">
        <f>1431.02/(100)</f>
        <v>14.3102</v>
      </c>
    </row>
    <row r="89" spans="1:7" x14ac:dyDescent="0.3">
      <c r="A89" s="116" t="s">
        <v>110</v>
      </c>
      <c r="B89" s="116"/>
      <c r="C89" s="117"/>
      <c r="D89" s="117"/>
      <c r="E89" s="117">
        <f t="shared" ref="E89:G89" si="41">E88/D88-1</f>
        <v>0.17140221612326467</v>
      </c>
      <c r="F89" s="117">
        <f t="shared" si="41"/>
        <v>0.3890649608212946</v>
      </c>
      <c r="G89" s="117">
        <f t="shared" si="41"/>
        <v>1.5397320866168407E-3</v>
      </c>
    </row>
    <row r="90" spans="1:7" x14ac:dyDescent="0.3">
      <c r="A90" s="125" t="s">
        <v>112</v>
      </c>
      <c r="B90" s="126">
        <f>B88/B$5</f>
        <v>0</v>
      </c>
      <c r="C90" s="126">
        <f t="shared" ref="C90:G90" si="42">C88/C$5</f>
        <v>0</v>
      </c>
      <c r="D90" s="126">
        <f t="shared" si="42"/>
        <v>4.6801102960614396E-3</v>
      </c>
      <c r="E90" s="126">
        <f t="shared" si="42"/>
        <v>3.4025601600700425E-3</v>
      </c>
      <c r="F90" s="126">
        <f t="shared" si="42"/>
        <v>6.7303462438641441E-3</v>
      </c>
      <c r="G90" s="126">
        <f t="shared" si="42"/>
        <v>6.3064201324206327E-3</v>
      </c>
    </row>
    <row r="91" spans="1:7" x14ac:dyDescent="0.3">
      <c r="A91" s="101" t="s">
        <v>140</v>
      </c>
      <c r="B91" s="114"/>
      <c r="C91" s="114"/>
      <c r="D91" s="114">
        <f>312.81/(100)</f>
        <v>3.1280999999999999</v>
      </c>
      <c r="E91" s="114">
        <f>337.07/(100)</f>
        <v>3.3706999999999998</v>
      </c>
      <c r="F91" s="114">
        <f>380.02/(100)</f>
        <v>3.8001999999999998</v>
      </c>
      <c r="G91" s="114">
        <f>445.44/(100)</f>
        <v>4.4543999999999997</v>
      </c>
    </row>
    <row r="92" spans="1:7" x14ac:dyDescent="0.3">
      <c r="A92" s="116" t="s">
        <v>110</v>
      </c>
      <c r="B92" s="116"/>
      <c r="C92" s="117"/>
      <c r="D92" s="117"/>
      <c r="E92" s="117">
        <f t="shared" ref="E92:G92" si="43">E91/D91-1</f>
        <v>7.755506537514778E-2</v>
      </c>
      <c r="F92" s="117">
        <f t="shared" si="43"/>
        <v>0.12742160382116485</v>
      </c>
      <c r="G92" s="117">
        <f t="shared" si="43"/>
        <v>0.17214883427188044</v>
      </c>
    </row>
    <row r="93" spans="1:7" x14ac:dyDescent="0.3">
      <c r="A93" s="125" t="s">
        <v>112</v>
      </c>
      <c r="B93" s="126">
        <f>B91/B$5</f>
        <v>0</v>
      </c>
      <c r="C93" s="126">
        <f t="shared" ref="C93:G93" si="44">C91/C$5</f>
        <v>0</v>
      </c>
      <c r="D93" s="126">
        <f t="shared" si="44"/>
        <v>1.6672003527018013E-3</v>
      </c>
      <c r="E93" s="126">
        <f t="shared" si="44"/>
        <v>1.1149899410421819E-3</v>
      </c>
      <c r="F93" s="126">
        <f t="shared" si="44"/>
        <v>1.7900548561703027E-3</v>
      </c>
      <c r="G93" s="126">
        <f t="shared" si="44"/>
        <v>1.9630276193103144E-3</v>
      </c>
    </row>
    <row r="94" spans="1:7" x14ac:dyDescent="0.3">
      <c r="A94" s="101"/>
      <c r="B94" s="101"/>
      <c r="C94" s="114"/>
      <c r="D94" s="114"/>
      <c r="E94" s="114"/>
      <c r="F94" s="114"/>
      <c r="G94" s="114"/>
    </row>
    <row r="95" spans="1:7" x14ac:dyDescent="0.3">
      <c r="A95" s="101" t="s">
        <v>141</v>
      </c>
      <c r="B95" s="114"/>
      <c r="C95" s="114"/>
      <c r="D95" s="114">
        <f>33.86/(100)</f>
        <v>0.33860000000000001</v>
      </c>
      <c r="E95" s="114">
        <f>102/(100)</f>
        <v>1.02</v>
      </c>
      <c r="F95" s="114">
        <f>269.4/(100)</f>
        <v>2.694</v>
      </c>
      <c r="G95" s="114">
        <f>130.41/(100)</f>
        <v>1.3041</v>
      </c>
    </row>
    <row r="96" spans="1:7" x14ac:dyDescent="0.3">
      <c r="A96" s="116" t="s">
        <v>110</v>
      </c>
      <c r="B96" s="116"/>
      <c r="C96" s="117"/>
      <c r="D96" s="117"/>
      <c r="E96" s="117">
        <f t="shared" ref="E96:G96" si="45">E95/D95-1</f>
        <v>2.0124040165386887</v>
      </c>
      <c r="F96" s="117">
        <f t="shared" si="45"/>
        <v>1.6411764705882352</v>
      </c>
      <c r="G96" s="117">
        <f t="shared" si="45"/>
        <v>-0.51592427616926506</v>
      </c>
    </row>
    <row r="97" spans="1:7" x14ac:dyDescent="0.3">
      <c r="A97" s="125" t="s">
        <v>112</v>
      </c>
      <c r="B97" s="126">
        <f>B95/B$5</f>
        <v>0</v>
      </c>
      <c r="C97" s="126">
        <f t="shared" ref="C97:G97" si="46">C95/C$5</f>
        <v>0</v>
      </c>
      <c r="D97" s="126">
        <f t="shared" si="46"/>
        <v>1.8046547086884369E-4</v>
      </c>
      <c r="E97" s="126">
        <f t="shared" si="46"/>
        <v>3.3740461621118036E-4</v>
      </c>
      <c r="F97" s="126">
        <f t="shared" si="46"/>
        <v>1.2689878907749055E-3</v>
      </c>
      <c r="G97" s="126">
        <f t="shared" si="46"/>
        <v>5.7470912319113271E-4</v>
      </c>
    </row>
    <row r="98" spans="1:7" x14ac:dyDescent="0.3">
      <c r="A98" s="101"/>
      <c r="B98" s="101"/>
      <c r="C98" s="114"/>
      <c r="D98" s="114"/>
      <c r="E98" s="114"/>
      <c r="F98" s="114"/>
      <c r="G98" s="114"/>
    </row>
    <row r="99" spans="1:7" x14ac:dyDescent="0.3">
      <c r="A99" s="101" t="s">
        <v>142</v>
      </c>
      <c r="B99" s="114"/>
      <c r="C99" s="114"/>
      <c r="D99" s="114">
        <f>1005.68/(100)</f>
        <v>10.056799999999999</v>
      </c>
      <c r="E99" s="114">
        <f>2311.51/(100)</f>
        <v>23.115100000000002</v>
      </c>
      <c r="F99" s="114">
        <f>857.56/(100)</f>
        <v>8.5755999999999997</v>
      </c>
      <c r="G99" s="114">
        <f>1496.37/(100)</f>
        <v>14.963699999999999</v>
      </c>
    </row>
    <row r="100" spans="1:7" x14ac:dyDescent="0.3">
      <c r="A100" s="116" t="s">
        <v>110</v>
      </c>
      <c r="B100" s="116"/>
      <c r="C100" s="117"/>
      <c r="D100" s="117"/>
      <c r="E100" s="117">
        <f t="shared" ref="E100:G100" si="47">E99/D99-1</f>
        <v>1.2984547768673935</v>
      </c>
      <c r="F100" s="117">
        <f t="shared" si="47"/>
        <v>-0.62900441702609988</v>
      </c>
      <c r="G100" s="117">
        <f t="shared" si="47"/>
        <v>0.74491580764028176</v>
      </c>
    </row>
    <row r="101" spans="1:7" x14ac:dyDescent="0.3">
      <c r="A101" s="125" t="s">
        <v>112</v>
      </c>
      <c r="B101" s="126">
        <f>B99/B$5</f>
        <v>0</v>
      </c>
      <c r="C101" s="126">
        <f t="shared" ref="C101:G101" si="48">C99/C$5</f>
        <v>0</v>
      </c>
      <c r="D101" s="126">
        <f t="shared" si="48"/>
        <v>5.360027015457138E-3</v>
      </c>
      <c r="E101" s="126">
        <f t="shared" si="48"/>
        <v>7.6462171021402514E-3</v>
      </c>
      <c r="F101" s="126">
        <f t="shared" si="48"/>
        <v>4.0394701396174008E-3</v>
      </c>
      <c r="G101" s="126">
        <f t="shared" si="48"/>
        <v>6.5944137004026928E-3</v>
      </c>
    </row>
    <row r="102" spans="1:7" x14ac:dyDescent="0.3">
      <c r="A102" s="101"/>
      <c r="B102" s="101"/>
      <c r="C102" s="114"/>
      <c r="D102" s="114"/>
      <c r="E102" s="114"/>
      <c r="F102" s="114"/>
      <c r="G102" s="114"/>
    </row>
    <row r="103" spans="1:7" x14ac:dyDescent="0.3">
      <c r="A103" s="101" t="s">
        <v>143</v>
      </c>
      <c r="B103" s="114"/>
      <c r="C103" s="114"/>
      <c r="D103" s="114">
        <f>260.51/(100)</f>
        <v>2.6050999999999997</v>
      </c>
      <c r="E103" s="114">
        <f>298.29/(100)</f>
        <v>2.9829000000000003</v>
      </c>
      <c r="F103" s="114">
        <f>327.28/(100)</f>
        <v>3.2727999999999997</v>
      </c>
      <c r="G103" s="114">
        <f>418.95/(100)</f>
        <v>4.1894999999999998</v>
      </c>
    </row>
    <row r="104" spans="1:7" x14ac:dyDescent="0.3">
      <c r="A104" s="116" t="s">
        <v>110</v>
      </c>
      <c r="B104" s="116"/>
      <c r="C104" s="117"/>
      <c r="D104" s="117"/>
      <c r="E104" s="117">
        <f t="shared" ref="E104:G104" si="49">E103/D103-1</f>
        <v>0.14502322367663445</v>
      </c>
      <c r="F104" s="117">
        <f t="shared" si="49"/>
        <v>9.7187300948740951E-2</v>
      </c>
      <c r="G104" s="117">
        <f t="shared" si="49"/>
        <v>0.28009655340992423</v>
      </c>
    </row>
    <row r="105" spans="1:7" x14ac:dyDescent="0.3">
      <c r="A105" s="125" t="s">
        <v>112</v>
      </c>
      <c r="B105" s="126">
        <f>B103/B$5</f>
        <v>0</v>
      </c>
      <c r="C105" s="126">
        <f t="shared" ref="C105:G105" si="50">C103/C$5</f>
        <v>0</v>
      </c>
      <c r="D105" s="126">
        <f t="shared" si="50"/>
        <v>1.3884542178394113E-3</v>
      </c>
      <c r="E105" s="126">
        <f t="shared" si="50"/>
        <v>9.8671002911404908E-4</v>
      </c>
      <c r="F105" s="126">
        <f t="shared" si="50"/>
        <v>1.5416271599584671E-3</v>
      </c>
      <c r="G105" s="126">
        <f t="shared" si="50"/>
        <v>1.8462877629087111E-3</v>
      </c>
    </row>
    <row r="106" spans="1:7" x14ac:dyDescent="0.3">
      <c r="A106" s="101"/>
      <c r="B106" s="101"/>
      <c r="C106" s="114"/>
      <c r="D106" s="114"/>
      <c r="E106" s="114"/>
      <c r="F106" s="114"/>
      <c r="G106" s="114"/>
    </row>
    <row r="107" spans="1:7" x14ac:dyDescent="0.3">
      <c r="A107" s="101" t="s">
        <v>144</v>
      </c>
      <c r="B107" s="114"/>
      <c r="C107" s="114"/>
      <c r="D107" s="114">
        <f>65.27/(100)</f>
        <v>0.65269999999999995</v>
      </c>
      <c r="E107" s="114">
        <f>534.72/(100)</f>
        <v>5.3472</v>
      </c>
      <c r="F107" s="114">
        <f>410.65/(100)</f>
        <v>4.1064999999999996</v>
      </c>
      <c r="G107" s="114">
        <f>583.97/(100)</f>
        <v>5.8397000000000006</v>
      </c>
    </row>
    <row r="108" spans="1:7" x14ac:dyDescent="0.3">
      <c r="A108" s="116" t="s">
        <v>110</v>
      </c>
      <c r="B108" s="116"/>
      <c r="C108" s="117"/>
      <c r="D108" s="117"/>
      <c r="E108" s="117">
        <f t="shared" ref="E108:G108" si="51">E107/D107-1</f>
        <v>7.1924314386394972</v>
      </c>
      <c r="F108" s="117">
        <f t="shared" si="51"/>
        <v>-0.23202797725912638</v>
      </c>
      <c r="G108" s="117">
        <f t="shared" si="51"/>
        <v>0.4220625837087546</v>
      </c>
    </row>
    <row r="109" spans="1:7" x14ac:dyDescent="0.3">
      <c r="A109" s="125" t="s">
        <v>112</v>
      </c>
      <c r="B109" s="126">
        <f>B107/B$5</f>
        <v>0</v>
      </c>
      <c r="C109" s="126">
        <f t="shared" ref="C109:G109" si="52">C107/C$5</f>
        <v>0</v>
      </c>
      <c r="D109" s="126">
        <f t="shared" si="52"/>
        <v>3.4787304440665761E-4</v>
      </c>
      <c r="E109" s="126">
        <f t="shared" si="52"/>
        <v>1.7687940821611997E-3</v>
      </c>
      <c r="F109" s="126">
        <f t="shared" si="52"/>
        <v>1.9343351052216588E-3</v>
      </c>
      <c r="G109" s="126">
        <f t="shared" si="52"/>
        <v>2.5735211001451253E-3</v>
      </c>
    </row>
    <row r="110" spans="1:7" x14ac:dyDescent="0.3">
      <c r="A110" s="101"/>
      <c r="B110" s="101"/>
      <c r="C110" s="114"/>
      <c r="D110" s="114"/>
      <c r="E110" s="114"/>
      <c r="F110" s="114"/>
      <c r="G110" s="114"/>
    </row>
    <row r="111" spans="1:7" x14ac:dyDescent="0.3">
      <c r="A111" s="101" t="s">
        <v>145</v>
      </c>
      <c r="B111" s="114"/>
      <c r="C111" s="114"/>
      <c r="D111" s="114">
        <f>53.86/(100)</f>
        <v>0.53859999999999997</v>
      </c>
      <c r="E111" s="114">
        <f>87.64/(100)</f>
        <v>0.87639999999999996</v>
      </c>
      <c r="F111" s="114">
        <f>148.86/(100)</f>
        <v>1.4886000000000001</v>
      </c>
      <c r="G111" s="114">
        <f>315.95/(100)</f>
        <v>3.1595</v>
      </c>
    </row>
    <row r="112" spans="1:7" x14ac:dyDescent="0.3">
      <c r="A112" s="116" t="s">
        <v>110</v>
      </c>
      <c r="B112" s="116"/>
      <c r="C112" s="117"/>
      <c r="D112" s="117"/>
      <c r="E112" s="117">
        <f t="shared" ref="E112:G112" si="53">E111/D111-1</f>
        <v>0.62718158187894546</v>
      </c>
      <c r="F112" s="117">
        <f t="shared" si="53"/>
        <v>0.69853947968963959</v>
      </c>
      <c r="G112" s="117">
        <f t="shared" si="53"/>
        <v>1.1224640601907829</v>
      </c>
    </row>
    <row r="113" spans="1:7" x14ac:dyDescent="0.3">
      <c r="A113" s="125" t="s">
        <v>112</v>
      </c>
      <c r="B113" s="126">
        <f>B111/B$5</f>
        <v>0</v>
      </c>
      <c r="C113" s="126">
        <f t="shared" ref="C113:G113" si="54">C111/C$5</f>
        <v>0</v>
      </c>
      <c r="D113" s="126">
        <f t="shared" si="54"/>
        <v>2.8706055112214771E-4</v>
      </c>
      <c r="E113" s="126">
        <f t="shared" si="54"/>
        <v>2.899033388700769E-4</v>
      </c>
      <c r="F113" s="126">
        <f t="shared" si="54"/>
        <v>7.0119353162862829E-4</v>
      </c>
      <c r="G113" s="126">
        <f t="shared" si="54"/>
        <v>1.3923728814679731E-3</v>
      </c>
    </row>
    <row r="114" spans="1:7" x14ac:dyDescent="0.3">
      <c r="A114" s="101"/>
      <c r="B114" s="101"/>
      <c r="C114" s="114"/>
      <c r="D114" s="114"/>
      <c r="E114" s="114"/>
      <c r="F114" s="114"/>
      <c r="G114" s="114"/>
    </row>
    <row r="115" spans="1:7" x14ac:dyDescent="0.3">
      <c r="A115" s="101" t="s">
        <v>146</v>
      </c>
      <c r="B115" s="114"/>
      <c r="C115" s="114"/>
      <c r="D115" s="114">
        <f>228.67/(100)</f>
        <v>2.2866999999999997</v>
      </c>
      <c r="E115" s="114">
        <f>606.12/(100)</f>
        <v>6.0612000000000004</v>
      </c>
      <c r="F115" s="114">
        <f>605.63/(100)</f>
        <v>6.0563000000000002</v>
      </c>
      <c r="G115" s="114">
        <f>762.34/(100)</f>
        <v>7.6234000000000002</v>
      </c>
    </row>
    <row r="116" spans="1:7" x14ac:dyDescent="0.3">
      <c r="A116" s="116" t="s">
        <v>110</v>
      </c>
      <c r="B116" s="116"/>
      <c r="C116" s="117"/>
      <c r="D116" s="117"/>
      <c r="E116" s="117">
        <f t="shared" ref="E116:G116" si="55">E115/D115-1</f>
        <v>1.6506319149866626</v>
      </c>
      <c r="F116" s="117">
        <f t="shared" si="55"/>
        <v>-8.084207747640626E-4</v>
      </c>
      <c r="G116" s="117">
        <f t="shared" si="55"/>
        <v>0.25875534567310066</v>
      </c>
    </row>
    <row r="117" spans="1:7" x14ac:dyDescent="0.3">
      <c r="A117" s="125" t="s">
        <v>112</v>
      </c>
      <c r="B117" s="126">
        <f>B115/B$5</f>
        <v>0</v>
      </c>
      <c r="C117" s="126">
        <f t="shared" ref="C117:G117" si="56">C115/C$5</f>
        <v>0</v>
      </c>
      <c r="D117" s="126">
        <f t="shared" si="56"/>
        <v>1.2187548500761512E-3</v>
      </c>
      <c r="E117" s="126">
        <f t="shared" si="56"/>
        <v>2.0049773135090263E-3</v>
      </c>
      <c r="F117" s="126">
        <f t="shared" si="56"/>
        <v>2.8527733344098222E-3</v>
      </c>
      <c r="G117" s="126">
        <f t="shared" si="56"/>
        <v>3.3595870943449744E-3</v>
      </c>
    </row>
    <row r="118" spans="1:7" x14ac:dyDescent="0.3">
      <c r="A118" s="101"/>
      <c r="B118" s="101"/>
      <c r="C118" s="114"/>
      <c r="D118" s="114"/>
      <c r="E118" s="114"/>
      <c r="F118" s="114"/>
      <c r="G118" s="114"/>
    </row>
    <row r="119" spans="1:7" x14ac:dyDescent="0.3">
      <c r="A119" s="101" t="s">
        <v>147</v>
      </c>
      <c r="B119" s="114"/>
      <c r="C119" s="114"/>
      <c r="D119" s="114">
        <f>108.65/(100)</f>
        <v>1.0865</v>
      </c>
      <c r="E119" s="114">
        <f>115.37/(100)</f>
        <v>1.1536999999999999</v>
      </c>
      <c r="F119" s="114">
        <f>124/(100)</f>
        <v>1.24</v>
      </c>
      <c r="G119" s="114">
        <f>117.68/(100)</f>
        <v>1.1768000000000001</v>
      </c>
    </row>
    <row r="120" spans="1:7" x14ac:dyDescent="0.3">
      <c r="A120" s="116" t="s">
        <v>110</v>
      </c>
      <c r="B120" s="116"/>
      <c r="C120" s="117"/>
      <c r="D120" s="117"/>
      <c r="E120" s="117">
        <f t="shared" ref="E120:G120" si="57">E119/D119-1</f>
        <v>6.1849976990335787E-2</v>
      </c>
      <c r="F120" s="117">
        <f t="shared" si="57"/>
        <v>7.4802808355725059E-2</v>
      </c>
      <c r="G120" s="117">
        <f t="shared" si="57"/>
        <v>-5.0967741935483812E-2</v>
      </c>
    </row>
    <row r="121" spans="1:7" x14ac:dyDescent="0.3">
      <c r="A121" s="125" t="s">
        <v>112</v>
      </c>
      <c r="B121" s="126">
        <f>B119/B$5</f>
        <v>0</v>
      </c>
      <c r="C121" s="126">
        <f t="shared" ref="C121:G121" si="58">C119/C$5</f>
        <v>0</v>
      </c>
      <c r="D121" s="126">
        <f t="shared" si="58"/>
        <v>5.790777734760741E-4</v>
      </c>
      <c r="E121" s="126">
        <f t="shared" si="58"/>
        <v>3.8163108404199879E-4</v>
      </c>
      <c r="F121" s="126">
        <f t="shared" si="58"/>
        <v>5.8409242188599958E-4</v>
      </c>
      <c r="G121" s="126">
        <f t="shared" si="58"/>
        <v>5.1860876939753466E-4</v>
      </c>
    </row>
    <row r="122" spans="1:7" x14ac:dyDescent="0.3">
      <c r="A122" s="128"/>
      <c r="B122" s="128"/>
      <c r="C122" s="129"/>
      <c r="D122" s="129"/>
      <c r="E122" s="129"/>
      <c r="F122" s="129"/>
      <c r="G122" s="129"/>
    </row>
    <row r="123" spans="1:7" x14ac:dyDescent="0.3">
      <c r="A123" s="106" t="s">
        <v>148</v>
      </c>
      <c r="B123" s="149">
        <f t="shared" ref="B123:F123" si="59">SUM(B76,B72,B68,B60,B56,B91,B88,B85,B52,B48,B44,B40,B36,B32,B28,B24,B20,B16,B12,B8,B64,B80,B95,B99,B103,B107,B111,B115,B119)</f>
        <v>0</v>
      </c>
      <c r="C123" s="149">
        <f t="shared" si="59"/>
        <v>0</v>
      </c>
      <c r="D123" s="149">
        <f t="shared" si="59"/>
        <v>234.58949999999999</v>
      </c>
      <c r="E123" s="149">
        <f t="shared" si="59"/>
        <v>302.54299999999989</v>
      </c>
      <c r="F123" s="149">
        <f t="shared" si="59"/>
        <v>251.76100000000002</v>
      </c>
      <c r="G123" s="149">
        <f>SUM(G76,G72,G68,G60,G56,G91,G88,G85,G52,G48,G44,G40,G36,G32,G28,G24,G20,G16,G12,G8,G64,G80,G95,G99,G103,G107,G111,G115,G119)</f>
        <v>292.553</v>
      </c>
    </row>
    <row r="124" spans="1:7" x14ac:dyDescent="0.3">
      <c r="B124" s="144">
        <f>'P&amp;L Analysis'!B20-B123</f>
        <v>115.84360000000001</v>
      </c>
      <c r="C124" s="144">
        <f>'P&amp;L Analysis'!C20-C123</f>
        <v>128.37959999999998</v>
      </c>
      <c r="D124" s="144">
        <f>'P&amp;L Analysis'!D20-D123</f>
        <v>0</v>
      </c>
      <c r="E124" s="144">
        <f>'P&amp;L Analysis'!E20-E123</f>
        <v>0</v>
      </c>
      <c r="F124" s="144">
        <f>'P&amp;L Analysis'!F20-F123</f>
        <v>0.12979999999998881</v>
      </c>
      <c r="G124" s="144">
        <f>'P&amp;L Analysis'!G20-G123</f>
        <v>-9.9999999974897946E-5</v>
      </c>
    </row>
    <row r="125" spans="1:7" x14ac:dyDescent="0.3">
      <c r="A125" s="95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19EC-4335-4B38-BD82-E8993B2EA72D}">
  <dimension ref="A1:O50"/>
  <sheetViews>
    <sheetView showGridLines="0" workbookViewId="0">
      <pane xSplit="1" ySplit="4" topLeftCell="B5" activePane="bottomRight" state="frozen"/>
      <selection activeCell="I7" sqref="I7"/>
      <selection pane="topRight" activeCell="I7" sqref="I7"/>
      <selection pane="bottomLeft" activeCell="I7" sqref="I7"/>
      <selection pane="bottomRight" activeCell="G20" sqref="G20"/>
    </sheetView>
  </sheetViews>
  <sheetFormatPr defaultColWidth="9.21875" defaultRowHeight="14.4" x14ac:dyDescent="0.3"/>
  <cols>
    <col min="1" max="1" width="34.77734375" style="91" bestFit="1" customWidth="1"/>
    <col min="2" max="7" width="9.21875" style="91"/>
    <col min="8" max="8" width="10.44140625" style="91" bestFit="1" customWidth="1"/>
    <col min="9" max="9" width="23.33203125" style="91" customWidth="1"/>
    <col min="10" max="16384" width="9.21875" style="91"/>
  </cols>
  <sheetData>
    <row r="1" spans="1:15" x14ac:dyDescent="0.3">
      <c r="A1" s="94" t="str">
        <f>'P&amp;L Analysis'!A1</f>
        <v>FINE ORGANIC INDUSTRIES LIMITED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</row>
    <row r="2" spans="1:15" x14ac:dyDescent="0.3">
      <c r="A2" s="94" t="s">
        <v>150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1:15" x14ac:dyDescent="0.3">
      <c r="A3" s="95"/>
      <c r="B3" s="95"/>
      <c r="C3" s="95"/>
      <c r="D3" s="95"/>
      <c r="E3" s="95"/>
      <c r="F3" s="95"/>
      <c r="G3" s="96" t="s">
        <v>104</v>
      </c>
      <c r="H3" s="96"/>
      <c r="I3" s="95"/>
      <c r="J3" s="95"/>
      <c r="K3" s="95"/>
      <c r="L3" s="95"/>
      <c r="M3" s="95"/>
      <c r="N3" s="95"/>
      <c r="O3" s="95"/>
    </row>
    <row r="4" spans="1:15" x14ac:dyDescent="0.3">
      <c r="A4" s="97" t="s">
        <v>68</v>
      </c>
      <c r="B4" s="92" t="s">
        <v>151</v>
      </c>
      <c r="C4" s="92" t="s">
        <v>152</v>
      </c>
      <c r="D4" s="92" t="s">
        <v>21</v>
      </c>
      <c r="E4" s="92" t="s">
        <v>1</v>
      </c>
      <c r="F4" s="92" t="s">
        <v>22</v>
      </c>
      <c r="G4" s="92" t="s">
        <v>2</v>
      </c>
      <c r="H4" s="92" t="s">
        <v>153</v>
      </c>
      <c r="I4" s="95"/>
      <c r="J4" s="95"/>
      <c r="K4" s="95"/>
      <c r="L4" s="95"/>
      <c r="M4" s="95"/>
      <c r="N4" s="95"/>
      <c r="O4" s="95"/>
    </row>
    <row r="5" spans="1:15" x14ac:dyDescent="0.3">
      <c r="A5" s="99" t="s">
        <v>154</v>
      </c>
      <c r="B5" s="93"/>
      <c r="C5" s="93"/>
      <c r="D5" s="93"/>
      <c r="E5" s="93"/>
      <c r="F5" s="93"/>
      <c r="G5" s="93"/>
      <c r="H5" s="93"/>
      <c r="I5" s="95"/>
      <c r="J5" s="95"/>
      <c r="K5" s="95"/>
      <c r="L5" s="95"/>
      <c r="M5" s="95"/>
      <c r="N5" s="95"/>
      <c r="O5" s="95"/>
    </row>
    <row r="6" spans="1:15" x14ac:dyDescent="0.3">
      <c r="A6" s="99" t="s">
        <v>155</v>
      </c>
      <c r="B6" s="93"/>
      <c r="C6" s="93"/>
      <c r="D6" s="93"/>
      <c r="E6" s="93"/>
      <c r="F6" s="93"/>
      <c r="G6" s="93"/>
      <c r="H6" s="93"/>
      <c r="I6" s="95"/>
      <c r="J6" s="95"/>
      <c r="K6" s="95"/>
      <c r="L6" s="95"/>
      <c r="M6" s="95"/>
      <c r="N6" s="95"/>
      <c r="O6" s="95"/>
    </row>
    <row r="7" spans="1:15" x14ac:dyDescent="0.3">
      <c r="A7" s="101" t="s">
        <v>156</v>
      </c>
      <c r="B7" s="150">
        <f>21591.69/100</f>
        <v>215.9169</v>
      </c>
      <c r="C7" s="150">
        <f>19531.15/100</f>
        <v>195.31150000000002</v>
      </c>
      <c r="D7" s="150">
        <f>22873.45/100</f>
        <v>228.7345</v>
      </c>
      <c r="E7" s="150">
        <f>21123.94/100</f>
        <v>211.23939999999999</v>
      </c>
      <c r="F7" s="150">
        <f>26249.43/100</f>
        <v>262.49430000000001</v>
      </c>
      <c r="G7" s="150">
        <f>35831.38/100</f>
        <v>358.31379999999996</v>
      </c>
      <c r="H7" s="150">
        <f>36408.67/100</f>
        <v>364.08670000000001</v>
      </c>
      <c r="I7" s="95"/>
      <c r="J7" s="95"/>
      <c r="K7" s="95"/>
      <c r="L7" s="95"/>
      <c r="M7" s="95"/>
      <c r="N7" s="95"/>
      <c r="O7" s="95"/>
    </row>
    <row r="8" spans="1:15" x14ac:dyDescent="0.3">
      <c r="A8" s="101" t="s">
        <v>157</v>
      </c>
      <c r="B8" s="143">
        <f>584.11 /100</f>
        <v>5.8411</v>
      </c>
      <c r="C8" s="150">
        <f>2630.42/100</f>
        <v>26.304200000000002</v>
      </c>
      <c r="D8" s="150">
        <f>1412.47/100</f>
        <v>14.124700000000001</v>
      </c>
      <c r="E8" s="150">
        <f>4044.08/100</f>
        <v>40.440799999999996</v>
      </c>
      <c r="F8" s="150">
        <f>2972.98/100</f>
        <v>29.729800000000001</v>
      </c>
      <c r="G8" s="150">
        <f>2717.34/100</f>
        <v>27.173400000000001</v>
      </c>
      <c r="H8" s="150">
        <f>3552.89/100</f>
        <v>35.5289</v>
      </c>
      <c r="I8" s="95"/>
      <c r="J8" s="95"/>
      <c r="K8" s="95"/>
      <c r="L8" s="95"/>
      <c r="M8" s="95"/>
      <c r="N8" s="95"/>
      <c r="O8" s="95"/>
    </row>
    <row r="9" spans="1:15" x14ac:dyDescent="0.3">
      <c r="A9" s="101" t="s">
        <v>158</v>
      </c>
      <c r="B9" s="143">
        <f>85.74 /100</f>
        <v>0.85739999999999994</v>
      </c>
      <c r="C9" s="151">
        <f>54.18 /100</f>
        <v>0.54179999999999995</v>
      </c>
      <c r="D9" s="151">
        <f>57.11/100</f>
        <v>0.57109999999999994</v>
      </c>
      <c r="E9" s="151">
        <f>148.54/100</f>
        <v>1.4853999999999998</v>
      </c>
      <c r="F9" s="151">
        <f>169.55/100</f>
        <v>1.6955</v>
      </c>
      <c r="G9" s="151">
        <f>255.38/100</f>
        <v>2.5537999999999998</v>
      </c>
      <c r="H9" s="151">
        <f>212.64/100</f>
        <v>2.1263999999999998</v>
      </c>
      <c r="I9" s="152"/>
      <c r="J9" s="95"/>
      <c r="K9" s="95"/>
      <c r="L9" s="95"/>
      <c r="M9" s="95"/>
      <c r="N9" s="95"/>
      <c r="O9" s="95"/>
    </row>
    <row r="10" spans="1:15" x14ac:dyDescent="0.3">
      <c r="A10" s="101" t="s">
        <v>159</v>
      </c>
      <c r="B10" s="151"/>
      <c r="C10" s="151"/>
      <c r="D10" s="151">
        <v>0</v>
      </c>
      <c r="E10" s="151">
        <f>130.87/100</f>
        <v>1.3087</v>
      </c>
      <c r="F10" s="151">
        <f>407.09/100</f>
        <v>4.0709</v>
      </c>
      <c r="G10" s="151">
        <f>255.55/100</f>
        <v>2.5555000000000003</v>
      </c>
      <c r="H10" s="151">
        <f>680.24/100</f>
        <v>6.8024000000000004</v>
      </c>
      <c r="I10" s="152"/>
      <c r="J10" s="95"/>
      <c r="K10" s="95"/>
      <c r="L10" s="95"/>
      <c r="M10" s="95"/>
      <c r="N10" s="95"/>
      <c r="O10" s="95"/>
    </row>
    <row r="11" spans="1:15" x14ac:dyDescent="0.3">
      <c r="A11" s="101" t="s">
        <v>160</v>
      </c>
      <c r="B11" s="151"/>
      <c r="C11" s="151"/>
      <c r="D11" s="151"/>
      <c r="E11" s="151"/>
      <c r="F11" s="151"/>
      <c r="G11" s="151"/>
      <c r="H11" s="151"/>
      <c r="I11" s="152"/>
      <c r="J11" s="95"/>
      <c r="K11" s="95"/>
      <c r="L11" s="95"/>
      <c r="M11" s="95"/>
      <c r="N11" s="95"/>
      <c r="O11" s="95"/>
    </row>
    <row r="12" spans="1:15" x14ac:dyDescent="0.3">
      <c r="A12" s="153" t="s">
        <v>161</v>
      </c>
      <c r="B12" s="151">
        <f>3279.76/100</f>
        <v>32.797600000000003</v>
      </c>
      <c r="C12" s="151">
        <f>3109.91/100</f>
        <v>31.0991</v>
      </c>
      <c r="D12" s="151">
        <f>3061.06/100</f>
        <v>30.610599999999998</v>
      </c>
      <c r="E12" s="151">
        <f>3879.83/100</f>
        <v>38.798299999999998</v>
      </c>
      <c r="F12" s="151">
        <f>3616.08/100</f>
        <v>36.160800000000002</v>
      </c>
      <c r="G12" s="151">
        <f>3527.15/100</f>
        <v>35.271500000000003</v>
      </c>
      <c r="H12" s="151">
        <f>3351.28/100</f>
        <v>33.512799999999999</v>
      </c>
      <c r="I12" s="95"/>
      <c r="J12" s="95"/>
      <c r="K12" s="95"/>
      <c r="L12" s="95"/>
      <c r="M12" s="95"/>
      <c r="N12" s="95"/>
      <c r="O12" s="95"/>
    </row>
    <row r="13" spans="1:15" x14ac:dyDescent="0.3">
      <c r="A13" s="153" t="s">
        <v>162</v>
      </c>
      <c r="B13" s="151">
        <f>99.88 /100</f>
        <v>0.99879999999999991</v>
      </c>
      <c r="C13" s="151">
        <f>123.49/100</f>
        <v>1.2348999999999999</v>
      </c>
      <c r="D13" s="151">
        <f>85.29/100</f>
        <v>0.8529000000000001</v>
      </c>
      <c r="E13" s="151">
        <f>90.86/100</f>
        <v>0.90859999999999996</v>
      </c>
      <c r="F13" s="151">
        <f>121.28/100</f>
        <v>1.2128000000000001</v>
      </c>
      <c r="G13" s="151">
        <f>89.97/100</f>
        <v>0.89969999999999994</v>
      </c>
      <c r="H13" s="151">
        <f>80.96/100</f>
        <v>0.80959999999999999</v>
      </c>
      <c r="I13" s="109"/>
      <c r="J13" s="95"/>
      <c r="K13" s="95"/>
      <c r="L13" s="95"/>
      <c r="M13" s="95"/>
      <c r="N13" s="95"/>
      <c r="O13" s="95"/>
    </row>
    <row r="14" spans="1:15" x14ac:dyDescent="0.3">
      <c r="A14" s="153" t="s">
        <v>163</v>
      </c>
      <c r="B14" s="151">
        <f>301.18 /100</f>
        <v>3.0118</v>
      </c>
      <c r="C14" s="151">
        <f>255.72 /100</f>
        <v>2.5571999999999999</v>
      </c>
      <c r="D14" s="151">
        <f>373.27/100</f>
        <v>3.7326999999999999</v>
      </c>
      <c r="E14" s="151">
        <f>757.29/100</f>
        <v>7.5728999999999997</v>
      </c>
      <c r="F14" s="151">
        <f>1239.41/100</f>
        <v>12.394100000000002</v>
      </c>
      <c r="G14" s="151">
        <f>21902.08/100</f>
        <v>219.02080000000001</v>
      </c>
      <c r="H14" s="151">
        <f>14137.74/100</f>
        <v>141.37739999999999</v>
      </c>
      <c r="I14" s="109" t="s">
        <v>164</v>
      </c>
      <c r="J14" s="95"/>
      <c r="K14" s="95"/>
      <c r="L14" s="95"/>
      <c r="M14" s="95"/>
      <c r="N14" s="95"/>
      <c r="O14" s="95"/>
    </row>
    <row r="15" spans="1:15" x14ac:dyDescent="0.3">
      <c r="A15" s="101" t="s">
        <v>165</v>
      </c>
      <c r="B15" s="150">
        <f>671.81/100</f>
        <v>6.7180999999999997</v>
      </c>
      <c r="C15" s="150">
        <f>794.9 /100</f>
        <v>7.9489999999999998</v>
      </c>
      <c r="D15" s="150">
        <f>835.57/100</f>
        <v>8.3557000000000006</v>
      </c>
      <c r="E15" s="150">
        <f>1068.74/100</f>
        <v>10.6874</v>
      </c>
      <c r="F15" s="150">
        <f>1327.92/100</f>
        <v>13.279200000000001</v>
      </c>
      <c r="G15" s="150">
        <f>1530.35/100</f>
        <v>15.3035</v>
      </c>
      <c r="H15" s="150">
        <f>1683.35/100</f>
        <v>16.833500000000001</v>
      </c>
      <c r="I15" s="95"/>
      <c r="J15" s="95"/>
      <c r="K15" s="95"/>
      <c r="L15" s="95"/>
      <c r="M15" s="95"/>
      <c r="N15" s="95"/>
      <c r="O15" s="95"/>
    </row>
    <row r="16" spans="1:15" x14ac:dyDescent="0.3">
      <c r="A16" s="101" t="s">
        <v>166</v>
      </c>
      <c r="B16" s="150">
        <f>6165.23/100</f>
        <v>61.652299999999997</v>
      </c>
      <c r="C16" s="150">
        <f>6214.71/100</f>
        <v>62.147100000000002</v>
      </c>
      <c r="D16" s="150">
        <f>6099.12/100</f>
        <v>60.991199999999999</v>
      </c>
      <c r="E16" s="150">
        <f>7436.46/100</f>
        <v>74.364599999999996</v>
      </c>
      <c r="F16" s="151">
        <f>6494.29/100</f>
        <v>64.942899999999995</v>
      </c>
      <c r="G16" s="150">
        <f>3621.7/100</f>
        <v>36.216999999999999</v>
      </c>
      <c r="H16" s="150">
        <f>3944.43/100</f>
        <v>39.444299999999998</v>
      </c>
      <c r="I16" s="109" t="s">
        <v>167</v>
      </c>
      <c r="J16" s="154">
        <f>2730.23/100</f>
        <v>27.302299999999999</v>
      </c>
      <c r="K16" s="154">
        <f>2690.15/100</f>
        <v>26.901500000000002</v>
      </c>
      <c r="L16" s="154">
        <f>2614.45/100</f>
        <v>26.144499999999997</v>
      </c>
      <c r="M16" s="154">
        <f>2841.33/100</f>
        <v>28.4133</v>
      </c>
      <c r="N16" s="154">
        <f>5068.09/100</f>
        <v>50.680900000000001</v>
      </c>
      <c r="O16" s="154">
        <f>2896.62/100</f>
        <v>28.966200000000001</v>
      </c>
    </row>
    <row r="17" spans="1:15" x14ac:dyDescent="0.3">
      <c r="A17" s="106" t="s">
        <v>168</v>
      </c>
      <c r="B17" s="155">
        <f t="shared" ref="B17:H17" si="0">SUM(B7:B16)</f>
        <v>327.79399999999998</v>
      </c>
      <c r="C17" s="155">
        <f t="shared" si="0"/>
        <v>327.14480000000009</v>
      </c>
      <c r="D17" s="155">
        <f t="shared" si="0"/>
        <v>347.97339999999997</v>
      </c>
      <c r="E17" s="155">
        <f t="shared" si="0"/>
        <v>386.80609999999996</v>
      </c>
      <c r="F17" s="155">
        <f t="shared" si="0"/>
        <v>425.9803</v>
      </c>
      <c r="G17" s="155">
        <f t="shared" si="0"/>
        <v>697.30899999999997</v>
      </c>
      <c r="H17" s="155">
        <f t="shared" si="0"/>
        <v>640.52199999999993</v>
      </c>
      <c r="I17" s="95"/>
      <c r="J17" s="156">
        <f t="shared" ref="J17:O17" si="1">J16/B16</f>
        <v>0.44284317048998983</v>
      </c>
      <c r="K17" s="156">
        <f t="shared" si="1"/>
        <v>0.43286814670354695</v>
      </c>
      <c r="L17" s="156">
        <f t="shared" si="1"/>
        <v>0.42866020016002304</v>
      </c>
      <c r="M17" s="156">
        <f t="shared" si="1"/>
        <v>0.38208099014853841</v>
      </c>
      <c r="N17" s="156">
        <f t="shared" si="1"/>
        <v>0.78039169793772689</v>
      </c>
      <c r="O17" s="156">
        <f t="shared" si="1"/>
        <v>0.79979567606372703</v>
      </c>
    </row>
    <row r="18" spans="1:15" x14ac:dyDescent="0.3">
      <c r="A18" s="99" t="s">
        <v>169</v>
      </c>
      <c r="B18" s="93"/>
      <c r="C18" s="93"/>
      <c r="D18" s="93"/>
      <c r="E18" s="93"/>
      <c r="F18" s="93"/>
      <c r="G18" s="93"/>
      <c r="H18" s="93"/>
      <c r="I18" s="95"/>
      <c r="J18" s="95"/>
      <c r="K18" s="95"/>
      <c r="L18" s="95"/>
      <c r="M18" s="95"/>
      <c r="N18" s="95"/>
      <c r="O18" s="95"/>
    </row>
    <row r="19" spans="1:15" x14ac:dyDescent="0.3">
      <c r="A19" s="101" t="s">
        <v>170</v>
      </c>
      <c r="B19" s="150">
        <f>13167.15/100</f>
        <v>131.67150000000001</v>
      </c>
      <c r="C19" s="150">
        <f>12617.94/100</f>
        <v>126.1794</v>
      </c>
      <c r="D19" s="150">
        <f>23558.55/100</f>
        <v>235.5855</v>
      </c>
      <c r="E19" s="150">
        <f>44497.55/100</f>
        <v>444.97550000000001</v>
      </c>
      <c r="F19" s="150">
        <f>26089.22/100</f>
        <v>260.8922</v>
      </c>
      <c r="G19" s="150">
        <f>36291.5/100</f>
        <v>362.91500000000002</v>
      </c>
      <c r="H19" s="150">
        <f>39939.96/100</f>
        <v>399.39959999999996</v>
      </c>
      <c r="I19" s="95"/>
      <c r="J19" s="95"/>
      <c r="K19" s="95"/>
      <c r="L19" s="95"/>
      <c r="M19" s="95"/>
      <c r="N19" s="95"/>
      <c r="O19" s="95"/>
    </row>
    <row r="20" spans="1:15" x14ac:dyDescent="0.3">
      <c r="A20" s="101" t="s">
        <v>160</v>
      </c>
      <c r="B20" s="150"/>
      <c r="C20" s="150"/>
      <c r="D20" s="150"/>
      <c r="E20" s="150"/>
      <c r="F20" s="150"/>
      <c r="G20" s="150"/>
      <c r="H20" s="150"/>
      <c r="I20" s="95"/>
      <c r="J20" s="95"/>
      <c r="K20" s="95"/>
      <c r="L20" s="95"/>
      <c r="M20" s="95"/>
      <c r="N20" s="95"/>
      <c r="O20" s="95"/>
    </row>
    <row r="21" spans="1:15" x14ac:dyDescent="0.3">
      <c r="A21" s="153" t="s">
        <v>171</v>
      </c>
      <c r="B21" s="150">
        <f>13233.32/100</f>
        <v>132.33320000000001</v>
      </c>
      <c r="C21" s="150">
        <f>16162.86/100</f>
        <v>161.62860000000001</v>
      </c>
      <c r="D21" s="150">
        <f>30136.59/100</f>
        <v>301.36590000000001</v>
      </c>
      <c r="E21" s="150">
        <f>35064.61/100</f>
        <v>350.64609999999999</v>
      </c>
      <c r="F21" s="150">
        <f>31131.21/100</f>
        <v>311.31209999999999</v>
      </c>
      <c r="G21" s="150">
        <f>33153.47/100</f>
        <v>331.53469999999999</v>
      </c>
      <c r="H21" s="150">
        <f>27293.74/100</f>
        <v>272.93740000000003</v>
      </c>
      <c r="I21" s="95"/>
      <c r="J21" s="95"/>
      <c r="K21" s="95"/>
      <c r="L21" s="95"/>
      <c r="M21" s="95"/>
      <c r="N21" s="95"/>
      <c r="O21" s="95"/>
    </row>
    <row r="22" spans="1:15" x14ac:dyDescent="0.3">
      <c r="A22" s="153" t="s">
        <v>172</v>
      </c>
      <c r="B22" s="151">
        <f>20566.37/100</f>
        <v>205.66369999999998</v>
      </c>
      <c r="C22" s="151">
        <f>25897.28/100</f>
        <v>258.97280000000001</v>
      </c>
      <c r="D22" s="151">
        <f>22566.44/100</f>
        <v>225.6644</v>
      </c>
      <c r="E22" s="151">
        <f>51482.26/100</f>
        <v>514.82259999999997</v>
      </c>
      <c r="F22" s="151">
        <f>69505.34/100</f>
        <v>695.05340000000001</v>
      </c>
      <c r="G22" s="151">
        <f>18915.46/100</f>
        <v>189.15459999999999</v>
      </c>
      <c r="H22" s="151">
        <f>21438.78/100</f>
        <v>214.3878</v>
      </c>
      <c r="I22" s="95"/>
      <c r="J22" s="95"/>
      <c r="K22" s="95"/>
      <c r="L22" s="95"/>
      <c r="M22" s="95"/>
      <c r="N22" s="95"/>
      <c r="O22" s="95"/>
    </row>
    <row r="23" spans="1:15" x14ac:dyDescent="0.3">
      <c r="A23" s="153" t="s">
        <v>173</v>
      </c>
      <c r="B23" s="151">
        <f>475.14/100</f>
        <v>4.7514000000000003</v>
      </c>
      <c r="C23" s="151">
        <f>477.01 /100</f>
        <v>4.7701000000000002</v>
      </c>
      <c r="D23" s="151">
        <f>689.39/100</f>
        <v>6.8938999999999995</v>
      </c>
      <c r="E23" s="151">
        <f>815.43/100</f>
        <v>8.1542999999999992</v>
      </c>
      <c r="F23" s="151">
        <f>35346.11/100</f>
        <v>353.46109999999999</v>
      </c>
      <c r="G23" s="151">
        <f>76079.42/100</f>
        <v>760.79419999999993</v>
      </c>
      <c r="H23" s="151">
        <f>94876.7/100</f>
        <v>948.76699999999994</v>
      </c>
      <c r="I23" s="109"/>
      <c r="J23" s="95"/>
      <c r="K23" s="95"/>
      <c r="L23" s="95"/>
      <c r="M23" s="95"/>
      <c r="N23" s="95"/>
      <c r="O23" s="95"/>
    </row>
    <row r="24" spans="1:15" x14ac:dyDescent="0.3">
      <c r="A24" s="153" t="s">
        <v>162</v>
      </c>
      <c r="B24" s="151"/>
      <c r="C24" s="95"/>
      <c r="D24" s="151">
        <f>46.3/100</f>
        <v>0.46299999999999997</v>
      </c>
      <c r="E24" s="151">
        <f>107.91/100</f>
        <v>1.0790999999999999</v>
      </c>
      <c r="F24" s="151">
        <f>65.29/100</f>
        <v>0.65290000000000004</v>
      </c>
      <c r="G24" s="151">
        <f>62.87/100</f>
        <v>0.62869999999999993</v>
      </c>
      <c r="H24" s="151">
        <f>55.82/100</f>
        <v>0.55820000000000003</v>
      </c>
      <c r="I24" s="109"/>
      <c r="J24" s="95"/>
      <c r="K24" s="95"/>
      <c r="L24" s="95"/>
      <c r="M24" s="95"/>
      <c r="N24" s="95"/>
      <c r="O24" s="95"/>
    </row>
    <row r="25" spans="1:15" x14ac:dyDescent="0.3">
      <c r="A25" s="153" t="s">
        <v>174</v>
      </c>
      <c r="B25" s="151">
        <f>32.8 /100</f>
        <v>0.32799999999999996</v>
      </c>
      <c r="C25" s="151">
        <f>23.96 /100</f>
        <v>0.23960000000000001</v>
      </c>
      <c r="D25" s="151">
        <f>24.14/100</f>
        <v>0.2414</v>
      </c>
      <c r="E25" s="151">
        <f>277.54/100</f>
        <v>2.7754000000000003</v>
      </c>
      <c r="F25" s="151">
        <f>73.73/100</f>
        <v>0.73730000000000007</v>
      </c>
      <c r="G25" s="151">
        <f>154.04/100</f>
        <v>1.5404</v>
      </c>
      <c r="H25" s="151">
        <f>233/100</f>
        <v>2.33</v>
      </c>
      <c r="I25" s="109"/>
      <c r="J25" s="95"/>
      <c r="K25" s="95"/>
      <c r="L25" s="95"/>
      <c r="M25" s="95"/>
      <c r="N25" s="95"/>
      <c r="O25" s="95"/>
    </row>
    <row r="26" spans="1:15" x14ac:dyDescent="0.3">
      <c r="A26" s="101" t="s">
        <v>175</v>
      </c>
      <c r="B26" s="151">
        <f>702.1 /100</f>
        <v>7.0209999999999999</v>
      </c>
      <c r="C26" s="151">
        <f>526.99 /100</f>
        <v>5.2698999999999998</v>
      </c>
      <c r="D26" s="151">
        <f>654.47/100</f>
        <v>6.5447000000000006</v>
      </c>
      <c r="E26" s="151">
        <f>1817.08/100</f>
        <v>18.1708</v>
      </c>
      <c r="F26" s="151">
        <f>1897.81/100</f>
        <v>18.978099999999998</v>
      </c>
      <c r="G26" s="151">
        <f>1970.37/100</f>
        <v>19.703699999999998</v>
      </c>
      <c r="H26" s="151">
        <f>1065.29/100</f>
        <v>10.652899999999999</v>
      </c>
      <c r="I26" s="109"/>
      <c r="J26" s="95"/>
      <c r="K26" s="95"/>
      <c r="L26" s="95"/>
      <c r="M26" s="95"/>
      <c r="N26" s="95"/>
      <c r="O26" s="95"/>
    </row>
    <row r="27" spans="1:15" x14ac:dyDescent="0.3">
      <c r="A27" s="101" t="s">
        <v>176</v>
      </c>
      <c r="B27" s="151">
        <f>4249.36/100</f>
        <v>42.493599999999994</v>
      </c>
      <c r="C27" s="151">
        <f>6341.35/100</f>
        <v>63.413500000000006</v>
      </c>
      <c r="D27" s="151">
        <f>11161.91/100</f>
        <v>111.6191</v>
      </c>
      <c r="E27" s="151">
        <f>7917.37/100</f>
        <v>79.173699999999997</v>
      </c>
      <c r="F27" s="151">
        <f>4070.09/100</f>
        <v>40.700900000000004</v>
      </c>
      <c r="G27" s="151">
        <f>14709.35/100</f>
        <v>147.09350000000001</v>
      </c>
      <c r="H27" s="151">
        <f>17083.74/100</f>
        <v>170.8374</v>
      </c>
      <c r="I27" s="109"/>
      <c r="J27" s="95"/>
      <c r="K27" s="95"/>
      <c r="L27" s="95"/>
      <c r="M27" s="95"/>
      <c r="N27" s="95"/>
      <c r="O27" s="95"/>
    </row>
    <row r="28" spans="1:15" x14ac:dyDescent="0.3">
      <c r="A28" s="106" t="s">
        <v>177</v>
      </c>
      <c r="B28" s="155">
        <f>SUM(B19:B27)</f>
        <v>524.26239999999996</v>
      </c>
      <c r="C28" s="155">
        <f>SUM(C19:C27)</f>
        <v>620.47389999999996</v>
      </c>
      <c r="D28" s="155">
        <f>SUM(D19:D27)</f>
        <v>888.37790000000007</v>
      </c>
      <c r="E28" s="155">
        <f>SUM(E19:E27)</f>
        <v>1419.7974999999999</v>
      </c>
      <c r="F28" s="155">
        <f t="shared" ref="F28:H28" si="2">SUM(F19:F27)</f>
        <v>1681.7880000000002</v>
      </c>
      <c r="G28" s="155">
        <f t="shared" si="2"/>
        <v>1813.3647999999998</v>
      </c>
      <c r="H28" s="155">
        <f t="shared" si="2"/>
        <v>2019.8702999999996</v>
      </c>
      <c r="I28" s="95"/>
      <c r="J28" s="95"/>
      <c r="K28" s="95"/>
      <c r="L28" s="95"/>
      <c r="M28" s="95"/>
      <c r="N28" s="95"/>
      <c r="O28" s="95"/>
    </row>
    <row r="29" spans="1:15" x14ac:dyDescent="0.3">
      <c r="A29" s="106" t="s">
        <v>178</v>
      </c>
      <c r="B29" s="155">
        <f>B28+B17</f>
        <v>852.05639999999994</v>
      </c>
      <c r="C29" s="155">
        <f>C28+C17</f>
        <v>947.61869999999999</v>
      </c>
      <c r="D29" s="155">
        <f>D28+D17</f>
        <v>1236.3513</v>
      </c>
      <c r="E29" s="155">
        <f>E28+E17</f>
        <v>1806.6035999999999</v>
      </c>
      <c r="F29" s="155">
        <f t="shared" ref="F29:H29" si="3">F28+F17</f>
        <v>2107.7683000000002</v>
      </c>
      <c r="G29" s="155">
        <f t="shared" si="3"/>
        <v>2510.6737999999996</v>
      </c>
      <c r="H29" s="155">
        <f t="shared" si="3"/>
        <v>2660.3922999999995</v>
      </c>
      <c r="I29" s="95"/>
      <c r="J29" s="95"/>
      <c r="K29" s="95"/>
      <c r="L29" s="95"/>
      <c r="M29" s="95"/>
      <c r="N29" s="95"/>
      <c r="O29" s="95"/>
    </row>
    <row r="30" spans="1:15" x14ac:dyDescent="0.3">
      <c r="A30" s="99" t="s">
        <v>179</v>
      </c>
      <c r="B30" s="157"/>
      <c r="C30" s="157"/>
      <c r="D30" s="157"/>
      <c r="E30" s="157"/>
      <c r="F30" s="157"/>
      <c r="G30" s="157"/>
      <c r="H30" s="157"/>
      <c r="I30" s="95"/>
      <c r="J30" s="95"/>
      <c r="K30" s="95"/>
      <c r="L30" s="95"/>
      <c r="M30" s="95"/>
      <c r="N30" s="95"/>
      <c r="O30" s="95"/>
    </row>
    <row r="31" spans="1:15" x14ac:dyDescent="0.3">
      <c r="A31" s="101" t="s">
        <v>180</v>
      </c>
      <c r="B31" s="150">
        <f t="shared" ref="B31:D31" si="4">1533/100</f>
        <v>15.33</v>
      </c>
      <c r="C31" s="150">
        <f t="shared" si="4"/>
        <v>15.33</v>
      </c>
      <c r="D31" s="150">
        <f t="shared" si="4"/>
        <v>15.33</v>
      </c>
      <c r="E31" s="150">
        <f>1533/100</f>
        <v>15.33</v>
      </c>
      <c r="F31" s="150">
        <f>1533/100</f>
        <v>15.33</v>
      </c>
      <c r="G31" s="150">
        <f>1533/100</f>
        <v>15.33</v>
      </c>
      <c r="H31" s="150">
        <f>1533/100</f>
        <v>15.33</v>
      </c>
      <c r="I31" s="95"/>
      <c r="J31" s="95"/>
      <c r="K31" s="95"/>
      <c r="L31" s="95"/>
      <c r="M31" s="95"/>
      <c r="N31" s="95"/>
      <c r="O31" s="95"/>
    </row>
    <row r="32" spans="1:15" x14ac:dyDescent="0.3">
      <c r="A32" s="101" t="s">
        <v>181</v>
      </c>
      <c r="B32" s="150">
        <f>60356.07/100</f>
        <v>603.5607</v>
      </c>
      <c r="C32" s="150">
        <f>71605.67/100</f>
        <v>716.05669999999998</v>
      </c>
      <c r="D32" s="150">
        <f>94387.19/100</f>
        <v>943.87189999999998</v>
      </c>
      <c r="E32" s="150">
        <f>152591.89/100</f>
        <v>1525.9189000000001</v>
      </c>
      <c r="F32" s="150">
        <f>190571.91/100</f>
        <v>1905.7191</v>
      </c>
      <c r="G32" s="150">
        <f>227990.04/100</f>
        <v>2279.9004</v>
      </c>
      <c r="H32" s="150">
        <f>246189.57/100</f>
        <v>2461.8957</v>
      </c>
      <c r="I32" s="95"/>
      <c r="J32" s="95"/>
      <c r="K32" s="95"/>
      <c r="L32" s="95"/>
      <c r="M32" s="95"/>
      <c r="N32" s="95"/>
      <c r="O32" s="95"/>
    </row>
    <row r="33" spans="1:15" x14ac:dyDescent="0.3">
      <c r="A33" s="101" t="s">
        <v>182</v>
      </c>
      <c r="B33" s="150">
        <f>5.08 /100</f>
        <v>5.0799999999999998E-2</v>
      </c>
      <c r="C33" s="150">
        <f>6.91/100</f>
        <v>6.9099999999999995E-2</v>
      </c>
      <c r="D33" s="150"/>
      <c r="E33" s="150"/>
      <c r="F33" s="150"/>
      <c r="G33" s="150"/>
      <c r="H33" s="150"/>
      <c r="I33" s="95"/>
      <c r="J33" s="95"/>
      <c r="K33" s="95"/>
      <c r="L33" s="95"/>
      <c r="M33" s="95"/>
      <c r="N33" s="95"/>
      <c r="O33" s="95"/>
    </row>
    <row r="34" spans="1:15" x14ac:dyDescent="0.3">
      <c r="A34" s="106" t="s">
        <v>183</v>
      </c>
      <c r="B34" s="155">
        <f t="shared" ref="B34" si="5">SUM(B31:B33)</f>
        <v>618.94150000000002</v>
      </c>
      <c r="C34" s="155">
        <f>SUM(C31:C33)</f>
        <v>731.45580000000007</v>
      </c>
      <c r="D34" s="155">
        <f t="shared" ref="D34:H34" si="6">SUM(D31:D33)</f>
        <v>959.20190000000002</v>
      </c>
      <c r="E34" s="155">
        <f t="shared" si="6"/>
        <v>1541.2489</v>
      </c>
      <c r="F34" s="155">
        <f t="shared" si="6"/>
        <v>1921.0491</v>
      </c>
      <c r="G34" s="155">
        <f t="shared" si="6"/>
        <v>2295.2303999999999</v>
      </c>
      <c r="H34" s="155">
        <f t="shared" si="6"/>
        <v>2477.2257</v>
      </c>
      <c r="I34" s="95"/>
      <c r="J34" s="95"/>
      <c r="K34" s="95"/>
      <c r="L34" s="95"/>
      <c r="M34" s="95"/>
      <c r="N34" s="95"/>
      <c r="O34" s="95"/>
    </row>
    <row r="35" spans="1:15" x14ac:dyDescent="0.3">
      <c r="A35" s="99" t="s">
        <v>184</v>
      </c>
      <c r="B35" s="93"/>
      <c r="C35" s="93"/>
      <c r="D35" s="93"/>
      <c r="E35" s="93"/>
      <c r="F35" s="93"/>
      <c r="G35" s="93"/>
      <c r="H35" s="93"/>
      <c r="I35" s="95"/>
      <c r="J35" s="95"/>
      <c r="K35" s="95"/>
      <c r="L35" s="95"/>
      <c r="M35" s="95"/>
      <c r="N35" s="95"/>
      <c r="O35" s="95"/>
    </row>
    <row r="36" spans="1:15" x14ac:dyDescent="0.3">
      <c r="A36" s="101" t="s">
        <v>185</v>
      </c>
      <c r="B36" s="150">
        <f>9146.08/100</f>
        <v>91.460800000000006</v>
      </c>
      <c r="C36" s="150">
        <f>5674.43/100</f>
        <v>56.744300000000003</v>
      </c>
      <c r="D36" s="150">
        <f>2508.32/100</f>
        <v>25.083200000000001</v>
      </c>
      <c r="E36" s="151">
        <v>0</v>
      </c>
      <c r="F36" s="151">
        <v>0</v>
      </c>
      <c r="G36" s="151">
        <v>0</v>
      </c>
      <c r="H36" s="150">
        <f>924.24/100</f>
        <v>9.2423999999999999</v>
      </c>
      <c r="I36" s="95"/>
      <c r="J36" s="95"/>
      <c r="K36" s="95"/>
      <c r="L36" s="95"/>
      <c r="M36" s="95"/>
      <c r="N36" s="95"/>
      <c r="O36" s="95"/>
    </row>
    <row r="37" spans="1:15" x14ac:dyDescent="0.3">
      <c r="A37" s="101" t="s">
        <v>186</v>
      </c>
      <c r="B37" s="151">
        <v>0</v>
      </c>
      <c r="C37" s="151">
        <v>0</v>
      </c>
      <c r="D37" s="151">
        <v>0</v>
      </c>
      <c r="E37" s="151">
        <f>81.57/100</f>
        <v>0.81569999999999998</v>
      </c>
      <c r="F37" s="151">
        <f>246.96/100</f>
        <v>2.4696000000000002</v>
      </c>
      <c r="G37" s="151">
        <f>102.12/100</f>
        <v>1.0212000000000001</v>
      </c>
      <c r="H37" s="151">
        <f>374.22/100</f>
        <v>3.7422000000000004</v>
      </c>
      <c r="I37" s="95"/>
      <c r="J37" s="95"/>
      <c r="K37" s="95"/>
      <c r="L37" s="95"/>
      <c r="M37" s="95"/>
      <c r="N37" s="95"/>
      <c r="O37" s="95"/>
    </row>
    <row r="38" spans="1:15" x14ac:dyDescent="0.3">
      <c r="A38" s="101" t="s">
        <v>187</v>
      </c>
      <c r="B38" s="151">
        <f>755.86 /100</f>
        <v>7.5586000000000002</v>
      </c>
      <c r="C38" s="151">
        <f>435.3 /100</f>
        <v>4.3529999999999998</v>
      </c>
      <c r="D38" s="151">
        <f>86.61/100</f>
        <v>0.86609999999999998</v>
      </c>
      <c r="E38" s="151">
        <v>0</v>
      </c>
      <c r="F38" s="151">
        <v>0</v>
      </c>
      <c r="G38" s="151">
        <v>0</v>
      </c>
      <c r="H38" s="151">
        <v>0</v>
      </c>
      <c r="I38" s="95"/>
      <c r="J38" s="95"/>
      <c r="K38" s="95"/>
      <c r="L38" s="95"/>
      <c r="M38" s="95"/>
      <c r="N38" s="95"/>
      <c r="O38" s="95"/>
    </row>
    <row r="39" spans="1:15" x14ac:dyDescent="0.3">
      <c r="A39" s="106" t="s">
        <v>188</v>
      </c>
      <c r="B39" s="155">
        <f t="shared" ref="B39" si="7">SUM(B36:B38)</f>
        <v>99.019400000000005</v>
      </c>
      <c r="C39" s="155">
        <f>SUM(C36:C38)</f>
        <v>61.097300000000004</v>
      </c>
      <c r="D39" s="155">
        <f t="shared" ref="D39:H39" si="8">SUM(D36:D38)</f>
        <v>25.949300000000001</v>
      </c>
      <c r="E39" s="155">
        <f t="shared" si="8"/>
        <v>0.81569999999999998</v>
      </c>
      <c r="F39" s="155">
        <f t="shared" si="8"/>
        <v>2.4696000000000002</v>
      </c>
      <c r="G39" s="155">
        <f t="shared" si="8"/>
        <v>1.0212000000000001</v>
      </c>
      <c r="H39" s="155">
        <f t="shared" si="8"/>
        <v>12.9846</v>
      </c>
      <c r="I39" s="95"/>
      <c r="J39" s="95"/>
      <c r="K39" s="95"/>
      <c r="L39" s="95"/>
      <c r="M39" s="95"/>
      <c r="N39" s="95"/>
      <c r="O39" s="95"/>
    </row>
    <row r="40" spans="1:15" x14ac:dyDescent="0.3">
      <c r="A40" s="99" t="s">
        <v>189</v>
      </c>
      <c r="B40" s="93"/>
      <c r="C40" s="93"/>
      <c r="D40" s="93"/>
      <c r="E40" s="93"/>
      <c r="F40" s="93"/>
      <c r="G40" s="93"/>
      <c r="H40" s="93"/>
      <c r="I40" s="95"/>
      <c r="J40" s="95"/>
      <c r="K40" s="95"/>
      <c r="L40" s="95"/>
      <c r="M40" s="95"/>
      <c r="N40" s="95"/>
      <c r="O40" s="95"/>
    </row>
    <row r="41" spans="1:15" x14ac:dyDescent="0.3">
      <c r="A41" s="101" t="s">
        <v>185</v>
      </c>
      <c r="B41" s="151">
        <v>0</v>
      </c>
      <c r="C41" s="151">
        <f>3242.85/100</f>
        <v>32.4285</v>
      </c>
      <c r="D41" s="151">
        <f>3344.43/100</f>
        <v>33.444299999999998</v>
      </c>
      <c r="E41" s="151">
        <f>2720.41/100</f>
        <v>27.204099999999997</v>
      </c>
      <c r="F41" s="151">
        <v>0</v>
      </c>
      <c r="G41" s="151">
        <v>0</v>
      </c>
      <c r="H41" s="151">
        <v>0</v>
      </c>
      <c r="I41" s="95"/>
      <c r="J41" s="95"/>
      <c r="K41" s="95"/>
      <c r="L41" s="95"/>
      <c r="M41" s="95"/>
      <c r="N41" s="95"/>
      <c r="O41" s="95"/>
    </row>
    <row r="42" spans="1:15" x14ac:dyDescent="0.3">
      <c r="A42" s="101" t="s">
        <v>186</v>
      </c>
      <c r="B42" s="151">
        <v>0</v>
      </c>
      <c r="C42" s="151">
        <v>0</v>
      </c>
      <c r="D42" s="151">
        <v>0</v>
      </c>
      <c r="E42" s="143">
        <f>50.5/100</f>
        <v>0.505</v>
      </c>
      <c r="F42" s="151">
        <f>176.22/100</f>
        <v>1.7622</v>
      </c>
      <c r="G42" s="151">
        <f>177.41/100</f>
        <v>1.7741</v>
      </c>
      <c r="H42" s="151">
        <f>338.48/100</f>
        <v>3.3848000000000003</v>
      </c>
      <c r="I42" s="109"/>
      <c r="J42" s="95"/>
      <c r="K42" s="95"/>
      <c r="L42" s="95"/>
      <c r="M42" s="95"/>
      <c r="N42" s="95"/>
      <c r="O42" s="95"/>
    </row>
    <row r="43" spans="1:15" x14ac:dyDescent="0.3">
      <c r="A43" s="101" t="s">
        <v>190</v>
      </c>
      <c r="B43" s="151">
        <f>187.12/100+8387.96/100</f>
        <v>85.750799999999998</v>
      </c>
      <c r="C43" s="150">
        <f>318.49/100+9459.64/100</f>
        <v>97.781299999999987</v>
      </c>
      <c r="D43" s="150">
        <f>904.87/100+14450.56/100</f>
        <v>153.55429999999998</v>
      </c>
      <c r="E43" s="150">
        <f>1871.45/100+15711.73/100</f>
        <v>175.83179999999999</v>
      </c>
      <c r="F43" s="150">
        <f>1780.7/100+11760.24/100</f>
        <v>135.40940000000001</v>
      </c>
      <c r="G43" s="150">
        <f>1980.3/100+13564.97/100</f>
        <v>155.45269999999999</v>
      </c>
      <c r="H43" s="150">
        <f>(1961.45+8887.94)/100</f>
        <v>108.49390000000001</v>
      </c>
      <c r="I43" s="95"/>
      <c r="J43" s="95"/>
      <c r="K43" s="95"/>
      <c r="L43" s="95"/>
      <c r="M43" s="95"/>
      <c r="N43" s="95"/>
      <c r="O43" s="95"/>
    </row>
    <row r="44" spans="1:15" x14ac:dyDescent="0.3">
      <c r="A44" s="101" t="s">
        <v>191</v>
      </c>
      <c r="B44" s="150">
        <f>3488.98/100</f>
        <v>34.889800000000001</v>
      </c>
      <c r="C44" s="151">
        <f>251.61/100</f>
        <v>2.5161000000000002</v>
      </c>
      <c r="D44" s="150">
        <f>147.17/100</f>
        <v>1.4716999999999998</v>
      </c>
      <c r="E44" s="150">
        <f>320.86/100</f>
        <v>3.2086000000000001</v>
      </c>
      <c r="F44" s="150">
        <f>264/100</f>
        <v>2.64</v>
      </c>
      <c r="G44" s="150">
        <f>231.04 /100</f>
        <v>2.3104</v>
      </c>
      <c r="H44" s="150">
        <f>226.01/100</f>
        <v>2.2601</v>
      </c>
      <c r="I44" s="109" t="s">
        <v>192</v>
      </c>
      <c r="J44" s="143">
        <f>3325.85/100</f>
        <v>33.258499999999998</v>
      </c>
      <c r="K44" s="143"/>
      <c r="L44" s="95"/>
      <c r="M44" s="95"/>
      <c r="N44" s="95"/>
      <c r="O44" s="95"/>
    </row>
    <row r="45" spans="1:15" x14ac:dyDescent="0.3">
      <c r="A45" s="101" t="s">
        <v>193</v>
      </c>
      <c r="B45" s="151">
        <f>560.88 /100</f>
        <v>5.6087999999999996</v>
      </c>
      <c r="C45" s="150">
        <f>431.97 /100</f>
        <v>4.3197000000000001</v>
      </c>
      <c r="D45" s="151">
        <f>1595.12/100</f>
        <v>15.951199999999998</v>
      </c>
      <c r="E45" s="151">
        <f>1448.07/100</f>
        <v>14.480699999999999</v>
      </c>
      <c r="F45" s="151">
        <f>942.72/100</f>
        <v>9.4272000000000009</v>
      </c>
      <c r="G45" s="151">
        <f>1102.4/100</f>
        <v>11.024000000000001</v>
      </c>
      <c r="H45" s="151">
        <f>1505.47/100</f>
        <v>15.0547</v>
      </c>
      <c r="I45" s="109"/>
      <c r="J45" s="95"/>
      <c r="K45" s="95"/>
      <c r="L45" s="95"/>
      <c r="M45" s="95"/>
      <c r="N45" s="95"/>
      <c r="O45" s="95"/>
    </row>
    <row r="46" spans="1:15" x14ac:dyDescent="0.3">
      <c r="A46" s="101" t="s">
        <v>194</v>
      </c>
      <c r="B46" s="150">
        <f>327.5/100</f>
        <v>3.2749999999999999</v>
      </c>
      <c r="C46" s="143">
        <f>1344.89/100</f>
        <v>13.448900000000002</v>
      </c>
      <c r="D46" s="150">
        <f>3030.75/100</f>
        <v>30.307500000000001</v>
      </c>
      <c r="E46" s="150">
        <f>1948.34/100</f>
        <v>19.4834</v>
      </c>
      <c r="F46" s="150">
        <f>2001.89/100</f>
        <v>20.018900000000002</v>
      </c>
      <c r="G46" s="150">
        <f>2968.97/100</f>
        <v>29.689699999999998</v>
      </c>
      <c r="H46" s="150">
        <f>3566.4/100</f>
        <v>35.664000000000001</v>
      </c>
      <c r="I46" s="95"/>
      <c r="J46" s="95"/>
      <c r="K46" s="95"/>
      <c r="L46" s="95"/>
      <c r="M46" s="95"/>
      <c r="N46" s="95"/>
      <c r="O46" s="95"/>
    </row>
    <row r="47" spans="1:15" x14ac:dyDescent="0.3">
      <c r="A47" s="101" t="s">
        <v>195</v>
      </c>
      <c r="B47" s="150">
        <f>457.11 /100</f>
        <v>4.5711000000000004</v>
      </c>
      <c r="C47" s="150">
        <f>457.11 /100</f>
        <v>4.5711000000000004</v>
      </c>
      <c r="D47" s="150">
        <f>1647.11/100</f>
        <v>16.4711</v>
      </c>
      <c r="E47" s="150">
        <f>2382.54/100</f>
        <v>23.825399999999998</v>
      </c>
      <c r="F47" s="150">
        <f>1499.19/100</f>
        <v>14.991900000000001</v>
      </c>
      <c r="G47" s="150">
        <f>1417.13/100</f>
        <v>14.1713</v>
      </c>
      <c r="H47" s="150">
        <f>532.45/100</f>
        <v>5.3245000000000005</v>
      </c>
      <c r="I47" s="95"/>
      <c r="J47" s="95"/>
      <c r="K47" s="95"/>
      <c r="L47" s="95"/>
      <c r="M47" s="95"/>
      <c r="N47" s="95"/>
      <c r="O47" s="95"/>
    </row>
    <row r="48" spans="1:15" x14ac:dyDescent="0.3">
      <c r="A48" s="106" t="s">
        <v>196</v>
      </c>
      <c r="B48" s="158">
        <f t="shared" ref="B48:D48" si="9">SUM(B41:B47)</f>
        <v>134.09550000000002</v>
      </c>
      <c r="C48" s="158">
        <f t="shared" si="9"/>
        <v>155.06559999999999</v>
      </c>
      <c r="D48" s="158">
        <f t="shared" si="9"/>
        <v>251.20009999999999</v>
      </c>
      <c r="E48" s="158">
        <f>SUM(E41:E47)</f>
        <v>264.53899999999993</v>
      </c>
      <c r="F48" s="158">
        <f t="shared" ref="F48:H48" si="10">SUM(F41:F47)</f>
        <v>184.24959999999999</v>
      </c>
      <c r="G48" s="158">
        <f t="shared" si="10"/>
        <v>214.42219999999998</v>
      </c>
      <c r="H48" s="158">
        <f t="shared" si="10"/>
        <v>170.18200000000002</v>
      </c>
      <c r="I48" s="95"/>
      <c r="J48" s="95"/>
      <c r="K48" s="95"/>
      <c r="L48" s="95"/>
      <c r="M48" s="95"/>
      <c r="N48" s="95"/>
      <c r="O48" s="95"/>
    </row>
    <row r="49" spans="1:15" x14ac:dyDescent="0.3">
      <c r="A49" s="159" t="s">
        <v>197</v>
      </c>
      <c r="B49" s="122">
        <f t="shared" ref="B49:H49" si="11">B34+B39+B48</f>
        <v>852.05640000000005</v>
      </c>
      <c r="C49" s="122">
        <f t="shared" si="11"/>
        <v>947.6187000000001</v>
      </c>
      <c r="D49" s="122">
        <f t="shared" si="11"/>
        <v>1236.3513</v>
      </c>
      <c r="E49" s="122">
        <f t="shared" si="11"/>
        <v>1806.6036000000001</v>
      </c>
      <c r="F49" s="122">
        <f t="shared" si="11"/>
        <v>2107.7682999999997</v>
      </c>
      <c r="G49" s="122">
        <f t="shared" si="11"/>
        <v>2510.6738</v>
      </c>
      <c r="H49" s="122">
        <f t="shared" si="11"/>
        <v>2660.3922999999995</v>
      </c>
      <c r="I49" s="95"/>
      <c r="J49" s="95"/>
      <c r="K49" s="95"/>
      <c r="L49" s="95"/>
      <c r="M49" s="95"/>
      <c r="N49" s="95"/>
      <c r="O49" s="95"/>
    </row>
    <row r="50" spans="1:15" x14ac:dyDescent="0.3">
      <c r="A50" s="95"/>
      <c r="B50" s="143">
        <f t="shared" ref="B50:H50" si="12">B49-B29</f>
        <v>0</v>
      </c>
      <c r="C50" s="143">
        <f t="shared" si="12"/>
        <v>0</v>
      </c>
      <c r="D50" s="143">
        <f t="shared" si="12"/>
        <v>0</v>
      </c>
      <c r="E50" s="143">
        <f t="shared" si="12"/>
        <v>0</v>
      </c>
      <c r="F50" s="143">
        <f t="shared" si="12"/>
        <v>0</v>
      </c>
      <c r="G50" s="143">
        <f t="shared" si="12"/>
        <v>0</v>
      </c>
      <c r="H50" s="143">
        <f t="shared" si="12"/>
        <v>0</v>
      </c>
      <c r="I50" s="95"/>
      <c r="J50" s="95"/>
      <c r="K50" s="95"/>
      <c r="L50" s="95"/>
      <c r="M50" s="95"/>
      <c r="N50" s="95"/>
      <c r="O50" s="9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4D49-6690-448D-8113-92F32C2BF861}">
  <dimension ref="A1:I32"/>
  <sheetViews>
    <sheetView showGridLines="0" workbookViewId="0">
      <selection activeCell="H5" sqref="H5"/>
    </sheetView>
  </sheetViews>
  <sheetFormatPr defaultRowHeight="14.4" x14ac:dyDescent="0.3"/>
  <cols>
    <col min="1" max="1" width="41.77734375" style="95" bestFit="1" customWidth="1"/>
    <col min="2" max="7" width="9.77734375" style="95" bestFit="1" customWidth="1"/>
    <col min="8" max="8" width="9.88671875" style="109" bestFit="1" customWidth="1"/>
    <col min="9" max="16384" width="8.88671875" style="95"/>
  </cols>
  <sheetData>
    <row r="1" spans="1:9" x14ac:dyDescent="0.3">
      <c r="A1" s="94" t="str">
        <f>'P&amp;L Analysis'!A1</f>
        <v>FINE ORGANIC INDUSTRIES LIMITED</v>
      </c>
    </row>
    <row r="3" spans="1:9" x14ac:dyDescent="0.3">
      <c r="A3" s="94" t="s">
        <v>198</v>
      </c>
      <c r="H3" s="96" t="s">
        <v>10</v>
      </c>
    </row>
    <row r="4" spans="1:9" x14ac:dyDescent="0.3">
      <c r="A4" s="97" t="s">
        <v>68</v>
      </c>
      <c r="B4" s="97" t="str">
        <f>BS!B4</f>
        <v>2019-20</v>
      </c>
      <c r="C4" s="97" t="str">
        <f>BS!C4</f>
        <v>2020-21</v>
      </c>
      <c r="D4" s="97" t="str">
        <f>BS!D4</f>
        <v>2021-22</v>
      </c>
      <c r="E4" s="97" t="str">
        <f>BS!E4</f>
        <v>2022-23</v>
      </c>
      <c r="F4" s="97" t="str">
        <f>BS!F4</f>
        <v>2023-24</v>
      </c>
      <c r="G4" s="97" t="str">
        <f>BS!G4</f>
        <v>2024-25</v>
      </c>
      <c r="H4" s="98">
        <v>45930</v>
      </c>
    </row>
    <row r="5" spans="1:9" x14ac:dyDescent="0.3">
      <c r="A5" s="99" t="s">
        <v>199</v>
      </c>
      <c r="B5" s="100"/>
      <c r="C5" s="100"/>
      <c r="D5" s="100"/>
      <c r="E5" s="100"/>
      <c r="F5" s="100"/>
      <c r="G5" s="100"/>
      <c r="H5" s="160"/>
    </row>
    <row r="6" spans="1:9" x14ac:dyDescent="0.3">
      <c r="A6" s="101" t="s">
        <v>170</v>
      </c>
      <c r="B6" s="102">
        <f>BS!B19</f>
        <v>131.67150000000001</v>
      </c>
      <c r="C6" s="102">
        <f>BS!C19</f>
        <v>126.1794</v>
      </c>
      <c r="D6" s="102">
        <f>BS!D19</f>
        <v>235.5855</v>
      </c>
      <c r="E6" s="102">
        <f>BS!E19</f>
        <v>444.97550000000001</v>
      </c>
      <c r="F6" s="102">
        <f>BS!F19</f>
        <v>260.8922</v>
      </c>
      <c r="G6" s="102">
        <f>BS!G19</f>
        <v>362.91500000000002</v>
      </c>
      <c r="H6" s="102">
        <f>BS!H19</f>
        <v>399.39959999999996</v>
      </c>
    </row>
    <row r="7" spans="1:9" x14ac:dyDescent="0.3">
      <c r="A7" s="101" t="s">
        <v>171</v>
      </c>
      <c r="B7" s="102">
        <f>BS!B21</f>
        <v>132.33320000000001</v>
      </c>
      <c r="C7" s="102">
        <f>BS!C21</f>
        <v>161.62860000000001</v>
      </c>
      <c r="D7" s="102">
        <f>BS!D21</f>
        <v>301.36590000000001</v>
      </c>
      <c r="E7" s="102">
        <f>BS!E21</f>
        <v>350.64609999999999</v>
      </c>
      <c r="F7" s="102">
        <f>BS!F21</f>
        <v>311.31209999999999</v>
      </c>
      <c r="G7" s="102">
        <f>BS!G21</f>
        <v>331.53469999999999</v>
      </c>
      <c r="H7" s="102">
        <f>BS!H21</f>
        <v>272.93740000000003</v>
      </c>
    </row>
    <row r="8" spans="1:9" x14ac:dyDescent="0.3">
      <c r="A8" s="101" t="s">
        <v>176</v>
      </c>
      <c r="B8" s="102">
        <f>BS!B27</f>
        <v>42.493599999999994</v>
      </c>
      <c r="C8" s="102">
        <f>BS!C27</f>
        <v>63.413500000000006</v>
      </c>
      <c r="D8" s="102">
        <f>BS!D27</f>
        <v>111.6191</v>
      </c>
      <c r="E8" s="102">
        <f>BS!E27</f>
        <v>79.173699999999997</v>
      </c>
      <c r="F8" s="102">
        <f>BS!F27</f>
        <v>40.700900000000004</v>
      </c>
      <c r="G8" s="102">
        <f>BS!G27</f>
        <v>147.09350000000001</v>
      </c>
      <c r="H8" s="102">
        <f>BS!H27</f>
        <v>170.8374</v>
      </c>
      <c r="I8" s="109" t="s">
        <v>200</v>
      </c>
    </row>
    <row r="9" spans="1:9" x14ac:dyDescent="0.3">
      <c r="A9" s="101" t="s">
        <v>166</v>
      </c>
      <c r="B9" s="102">
        <f>BS!B16-BS!J16</f>
        <v>34.349999999999994</v>
      </c>
      <c r="C9" s="102">
        <f>BS!C16-BS!K16</f>
        <v>35.245599999999996</v>
      </c>
      <c r="D9" s="102">
        <f>BS!D16-BS!L16</f>
        <v>34.846699999999998</v>
      </c>
      <c r="E9" s="102">
        <f>BS!E16-BS!M16</f>
        <v>45.951299999999996</v>
      </c>
      <c r="F9" s="102">
        <f>BS!F16-BS!N16</f>
        <v>14.261999999999993</v>
      </c>
      <c r="G9" s="102">
        <f>BS!G16-BS!O16</f>
        <v>7.2507999999999981</v>
      </c>
      <c r="H9" s="102">
        <f>BS!H16-BS!P16</f>
        <v>39.444299999999998</v>
      </c>
      <c r="I9" s="109" t="s">
        <v>201</v>
      </c>
    </row>
    <row r="10" spans="1:9" x14ac:dyDescent="0.3">
      <c r="A10" s="101" t="s">
        <v>174</v>
      </c>
      <c r="B10" s="102">
        <f>BS!B25</f>
        <v>0.32799999999999996</v>
      </c>
      <c r="C10" s="102">
        <f>BS!C25</f>
        <v>0.23960000000000001</v>
      </c>
      <c r="D10" s="102">
        <f>BS!D25</f>
        <v>0.2414</v>
      </c>
      <c r="E10" s="102">
        <f>BS!E25</f>
        <v>2.7754000000000003</v>
      </c>
      <c r="F10" s="102">
        <f>BS!F25</f>
        <v>0.73730000000000007</v>
      </c>
      <c r="G10" s="102">
        <f>BS!G25</f>
        <v>1.5404</v>
      </c>
      <c r="H10" s="102">
        <f>BS!H25</f>
        <v>2.33</v>
      </c>
      <c r="I10" s="109"/>
    </row>
    <row r="11" spans="1:9" x14ac:dyDescent="0.3">
      <c r="A11" s="101" t="s">
        <v>163</v>
      </c>
      <c r="B11" s="102">
        <f>BS!B14*0</f>
        <v>0</v>
      </c>
      <c r="C11" s="102">
        <f>BS!C14*0</f>
        <v>0</v>
      </c>
      <c r="D11" s="102">
        <f>BS!D14*0</f>
        <v>0</v>
      </c>
      <c r="E11" s="102">
        <f>BS!E14*0</f>
        <v>0</v>
      </c>
      <c r="F11" s="102">
        <f>BS!F14*0</f>
        <v>0</v>
      </c>
      <c r="G11" s="102">
        <f>BS!G14*0</f>
        <v>0</v>
      </c>
      <c r="H11" s="102">
        <f>BS!H14*0</f>
        <v>0</v>
      </c>
      <c r="I11" s="109" t="s">
        <v>164</v>
      </c>
    </row>
    <row r="12" spans="1:9" x14ac:dyDescent="0.3">
      <c r="A12" s="101" t="s">
        <v>202</v>
      </c>
      <c r="B12" s="102">
        <f>BS!B26</f>
        <v>7.0209999999999999</v>
      </c>
      <c r="C12" s="102">
        <f>BS!C26</f>
        <v>5.2698999999999998</v>
      </c>
      <c r="D12" s="102">
        <f>BS!D26</f>
        <v>6.5447000000000006</v>
      </c>
      <c r="E12" s="102">
        <f>BS!E26</f>
        <v>18.1708</v>
      </c>
      <c r="F12" s="102">
        <f>BS!F26</f>
        <v>18.978099999999998</v>
      </c>
      <c r="G12" s="102">
        <f>BS!G26</f>
        <v>19.703699999999998</v>
      </c>
      <c r="H12" s="102">
        <f>BS!H26</f>
        <v>10.652899999999999</v>
      </c>
    </row>
    <row r="13" spans="1:9" x14ac:dyDescent="0.3">
      <c r="A13" s="101" t="s">
        <v>203</v>
      </c>
      <c r="B13" s="102">
        <f>BS!B24</f>
        <v>0</v>
      </c>
      <c r="C13" s="102">
        <f>BS!C24</f>
        <v>0</v>
      </c>
      <c r="D13" s="102">
        <f>BS!D24</f>
        <v>0.46299999999999997</v>
      </c>
      <c r="E13" s="102">
        <f>BS!E24</f>
        <v>1.0790999999999999</v>
      </c>
      <c r="F13" s="102">
        <f>BS!F24</f>
        <v>0.65290000000000004</v>
      </c>
      <c r="G13" s="102">
        <f>BS!G24</f>
        <v>0.62869999999999993</v>
      </c>
      <c r="H13" s="102">
        <f>BS!H24</f>
        <v>0.55820000000000003</v>
      </c>
    </row>
    <row r="14" spans="1:9" x14ac:dyDescent="0.3">
      <c r="A14" s="101" t="s">
        <v>204</v>
      </c>
      <c r="B14" s="102">
        <f>BS!B13</f>
        <v>0.99879999999999991</v>
      </c>
      <c r="C14" s="102">
        <f>BS!C13</f>
        <v>1.2348999999999999</v>
      </c>
      <c r="D14" s="102">
        <f>BS!D13</f>
        <v>0.8529000000000001</v>
      </c>
      <c r="E14" s="102">
        <f>BS!E13</f>
        <v>0.90859999999999996</v>
      </c>
      <c r="F14" s="102">
        <f>BS!F13</f>
        <v>1.2128000000000001</v>
      </c>
      <c r="G14" s="102">
        <f>BS!G13</f>
        <v>0.89969999999999994</v>
      </c>
      <c r="H14" s="103">
        <f>BS!H13</f>
        <v>0.80959999999999999</v>
      </c>
    </row>
    <row r="15" spans="1:9" x14ac:dyDescent="0.3">
      <c r="A15" s="104" t="s">
        <v>205</v>
      </c>
      <c r="B15" s="105">
        <f t="shared" ref="B15:H15" si="0">SUM(B6:B14)</f>
        <v>349.1961</v>
      </c>
      <c r="C15" s="105">
        <f t="shared" si="0"/>
        <v>393.21149999999994</v>
      </c>
      <c r="D15" s="105">
        <f t="shared" si="0"/>
        <v>691.51920000000007</v>
      </c>
      <c r="E15" s="105">
        <f t="shared" si="0"/>
        <v>943.68049999999994</v>
      </c>
      <c r="F15" s="105">
        <f t="shared" si="0"/>
        <v>648.74830000000009</v>
      </c>
      <c r="G15" s="105">
        <f t="shared" si="0"/>
        <v>871.56650000000013</v>
      </c>
      <c r="H15" s="105">
        <f t="shared" si="0"/>
        <v>896.96940000000018</v>
      </c>
    </row>
    <row r="16" spans="1:9" x14ac:dyDescent="0.3">
      <c r="A16" s="99" t="s">
        <v>206</v>
      </c>
      <c r="B16" s="102"/>
      <c r="C16" s="102"/>
      <c r="D16" s="102"/>
      <c r="E16" s="102"/>
      <c r="F16" s="102"/>
      <c r="G16" s="102"/>
      <c r="H16" s="102"/>
    </row>
    <row r="17" spans="1:8" x14ac:dyDescent="0.3">
      <c r="A17" s="101" t="s">
        <v>190</v>
      </c>
      <c r="B17" s="102">
        <f>BS!B43</f>
        <v>85.750799999999998</v>
      </c>
      <c r="C17" s="102">
        <f>BS!C43</f>
        <v>97.781299999999987</v>
      </c>
      <c r="D17" s="102">
        <f>BS!D43</f>
        <v>153.55429999999998</v>
      </c>
      <c r="E17" s="102">
        <f>BS!E43</f>
        <v>175.83179999999999</v>
      </c>
      <c r="F17" s="102">
        <f>BS!F43</f>
        <v>135.40940000000001</v>
      </c>
      <c r="G17" s="102">
        <f>BS!G43</f>
        <v>155.45269999999999</v>
      </c>
      <c r="H17" s="102">
        <f>BS!H43</f>
        <v>108.49390000000001</v>
      </c>
    </row>
    <row r="18" spans="1:8" x14ac:dyDescent="0.3">
      <c r="A18" s="101" t="s">
        <v>193</v>
      </c>
      <c r="B18" s="102">
        <f>BS!B45</f>
        <v>5.6087999999999996</v>
      </c>
      <c r="C18" s="102">
        <f>BS!C45</f>
        <v>4.3197000000000001</v>
      </c>
      <c r="D18" s="102">
        <f>BS!D45</f>
        <v>15.951199999999998</v>
      </c>
      <c r="E18" s="102">
        <f>BS!E45</f>
        <v>14.480699999999999</v>
      </c>
      <c r="F18" s="102">
        <f>BS!F45</f>
        <v>9.4272000000000009</v>
      </c>
      <c r="G18" s="102">
        <f>BS!G45</f>
        <v>11.024000000000001</v>
      </c>
      <c r="H18" s="102">
        <f>BS!H45</f>
        <v>15.0547</v>
      </c>
    </row>
    <row r="19" spans="1:8" x14ac:dyDescent="0.3">
      <c r="A19" s="101" t="s">
        <v>207</v>
      </c>
      <c r="B19" s="102">
        <f>BS!B38</f>
        <v>7.5586000000000002</v>
      </c>
      <c r="C19" s="102">
        <f>BS!C38</f>
        <v>4.3529999999999998</v>
      </c>
      <c r="D19" s="102">
        <f>BS!D38</f>
        <v>0.86609999999999998</v>
      </c>
      <c r="E19" s="102">
        <f>BS!E38</f>
        <v>0</v>
      </c>
      <c r="F19" s="102">
        <f>BS!F38</f>
        <v>0</v>
      </c>
      <c r="G19" s="102">
        <f>BS!G38</f>
        <v>0</v>
      </c>
      <c r="H19" s="102">
        <f>BS!H38</f>
        <v>0</v>
      </c>
    </row>
    <row r="20" spans="1:8" x14ac:dyDescent="0.3">
      <c r="A20" s="101" t="s">
        <v>208</v>
      </c>
      <c r="B20" s="102">
        <f>BS!B44-BS!J44</f>
        <v>1.6313000000000031</v>
      </c>
      <c r="C20" s="102">
        <f>BS!C44</f>
        <v>2.5161000000000002</v>
      </c>
      <c r="D20" s="102">
        <f>BS!D44</f>
        <v>1.4716999999999998</v>
      </c>
      <c r="E20" s="102">
        <f>BS!E44</f>
        <v>3.2086000000000001</v>
      </c>
      <c r="F20" s="102">
        <f>BS!F44</f>
        <v>2.64</v>
      </c>
      <c r="G20" s="102">
        <f>BS!G44</f>
        <v>2.3104</v>
      </c>
      <c r="H20" s="102">
        <f>BS!H44</f>
        <v>2.2601</v>
      </c>
    </row>
    <row r="21" spans="1:8" x14ac:dyDescent="0.3">
      <c r="A21" s="101" t="s">
        <v>209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</row>
    <row r="22" spans="1:8" x14ac:dyDescent="0.3">
      <c r="A22" s="101" t="s">
        <v>210</v>
      </c>
      <c r="B22" s="102">
        <f>BS!B47</f>
        <v>4.5711000000000004</v>
      </c>
      <c r="C22" s="102">
        <f>BS!C47</f>
        <v>4.5711000000000004</v>
      </c>
      <c r="D22" s="102">
        <f>BS!D47</f>
        <v>16.4711</v>
      </c>
      <c r="E22" s="102">
        <f>BS!E47</f>
        <v>23.825399999999998</v>
      </c>
      <c r="F22" s="102">
        <f>BS!F47</f>
        <v>14.991900000000001</v>
      </c>
      <c r="G22" s="102">
        <f>BS!G47</f>
        <v>14.1713</v>
      </c>
      <c r="H22" s="102">
        <f>BS!H47</f>
        <v>5.3245000000000005</v>
      </c>
    </row>
    <row r="23" spans="1:8" x14ac:dyDescent="0.3">
      <c r="A23" s="101" t="s">
        <v>211</v>
      </c>
      <c r="B23" s="102">
        <f>BS!B46</f>
        <v>3.2749999999999999</v>
      </c>
      <c r="C23" s="102">
        <f>BS!C46</f>
        <v>13.448900000000002</v>
      </c>
      <c r="D23" s="102">
        <f>BS!D46</f>
        <v>30.307500000000001</v>
      </c>
      <c r="E23" s="102">
        <f>BS!E46</f>
        <v>19.4834</v>
      </c>
      <c r="F23" s="102">
        <f>BS!F46</f>
        <v>20.018900000000002</v>
      </c>
      <c r="G23" s="102">
        <f>BS!G46</f>
        <v>29.689699999999998</v>
      </c>
      <c r="H23" s="102">
        <f>BS!H46</f>
        <v>35.664000000000001</v>
      </c>
    </row>
    <row r="24" spans="1:8" x14ac:dyDescent="0.3">
      <c r="A24" s="101" t="s">
        <v>212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</row>
    <row r="25" spans="1:8" x14ac:dyDescent="0.3">
      <c r="A25" s="104" t="s">
        <v>213</v>
      </c>
      <c r="B25" s="105">
        <f>SUM(B17:B24)</f>
        <v>108.3956</v>
      </c>
      <c r="C25" s="105">
        <f t="shared" ref="C25:H25" si="1">SUM(C17:C24)</f>
        <v>126.99009999999998</v>
      </c>
      <c r="D25" s="105">
        <f t="shared" si="1"/>
        <v>218.62189999999998</v>
      </c>
      <c r="E25" s="105">
        <f t="shared" si="1"/>
        <v>236.82989999999998</v>
      </c>
      <c r="F25" s="105">
        <f t="shared" si="1"/>
        <v>182.48740000000001</v>
      </c>
      <c r="G25" s="105">
        <f t="shared" si="1"/>
        <v>212.64809999999997</v>
      </c>
      <c r="H25" s="105">
        <f t="shared" si="1"/>
        <v>166.79719999999998</v>
      </c>
    </row>
    <row r="26" spans="1:8" x14ac:dyDescent="0.3">
      <c r="A26" s="106" t="s">
        <v>214</v>
      </c>
      <c r="B26" s="105">
        <f t="shared" ref="B26:H26" si="2">B15-B25</f>
        <v>240.8005</v>
      </c>
      <c r="C26" s="105">
        <f t="shared" si="2"/>
        <v>266.22139999999996</v>
      </c>
      <c r="D26" s="105">
        <f t="shared" si="2"/>
        <v>472.89730000000009</v>
      </c>
      <c r="E26" s="105">
        <f t="shared" si="2"/>
        <v>706.85059999999999</v>
      </c>
      <c r="F26" s="105">
        <f t="shared" si="2"/>
        <v>466.26090000000011</v>
      </c>
      <c r="G26" s="105">
        <f t="shared" si="2"/>
        <v>658.91840000000013</v>
      </c>
      <c r="H26" s="105">
        <f t="shared" si="2"/>
        <v>730.1722000000002</v>
      </c>
    </row>
    <row r="27" spans="1:8" x14ac:dyDescent="0.3">
      <c r="A27" s="107"/>
      <c r="B27" s="108"/>
      <c r="C27" s="108"/>
      <c r="D27" s="108"/>
      <c r="E27" s="108"/>
      <c r="F27" s="108"/>
      <c r="G27" s="108"/>
      <c r="H27" s="108"/>
    </row>
    <row r="28" spans="1:8" x14ac:dyDescent="0.3">
      <c r="A28" s="107" t="s">
        <v>215</v>
      </c>
      <c r="B28" s="103"/>
      <c r="C28" s="108">
        <f>C26-B26</f>
        <v>25.420899999999961</v>
      </c>
      <c r="D28" s="108">
        <f t="shared" ref="D28:H28" si="3">D26-C26</f>
        <v>206.67590000000013</v>
      </c>
      <c r="E28" s="108">
        <f t="shared" si="3"/>
        <v>233.9532999999999</v>
      </c>
      <c r="F28" s="108">
        <f t="shared" si="3"/>
        <v>-240.58969999999988</v>
      </c>
      <c r="G28" s="108">
        <f t="shared" si="3"/>
        <v>192.65750000000003</v>
      </c>
      <c r="H28" s="108">
        <f t="shared" si="3"/>
        <v>71.253800000000069</v>
      </c>
    </row>
    <row r="29" spans="1:8" x14ac:dyDescent="0.3">
      <c r="A29" s="109" t="s">
        <v>216</v>
      </c>
      <c r="B29" s="110">
        <f>'P&amp;L Analysis'!B10</f>
        <v>1038.0797</v>
      </c>
      <c r="C29" s="110">
        <f>'P&amp;L Analysis'!C10</f>
        <v>1133.2184</v>
      </c>
      <c r="D29" s="110">
        <f>'P&amp;L Analysis'!D10</f>
        <v>1876.2592000000002</v>
      </c>
      <c r="E29" s="110">
        <f>'P&amp;L Analysis'!E10</f>
        <v>3023.0765999999999</v>
      </c>
      <c r="F29" s="110">
        <f>'P&amp;L Analysis'!F10</f>
        <v>2122.9517000000001</v>
      </c>
      <c r="G29" s="110">
        <f>'P&amp;L Analysis'!G10</f>
        <v>2269.1478999999999</v>
      </c>
      <c r="H29" s="110">
        <f>'P&amp;L Analysis'!H10*2</f>
        <v>3480.9484000000002</v>
      </c>
    </row>
    <row r="30" spans="1:8" x14ac:dyDescent="0.3">
      <c r="A30" s="109" t="s">
        <v>217</v>
      </c>
      <c r="B30" s="111">
        <f t="shared" ref="B30:G30" si="4">B26/B29</f>
        <v>0.2319672564640268</v>
      </c>
      <c r="C30" s="111">
        <f t="shared" si="4"/>
        <v>0.23492505945897099</v>
      </c>
      <c r="D30" s="111">
        <f t="shared" si="4"/>
        <v>0.25204262822535395</v>
      </c>
      <c r="E30" s="111">
        <f t="shared" si="4"/>
        <v>0.23381828961925741</v>
      </c>
      <c r="F30" s="111">
        <f t="shared" si="4"/>
        <v>0.2196285954126983</v>
      </c>
      <c r="G30" s="111">
        <f t="shared" si="4"/>
        <v>0.29038142467487471</v>
      </c>
      <c r="H30" s="111">
        <f>H26/H29</f>
        <v>0.20976243141093392</v>
      </c>
    </row>
    <row r="31" spans="1:8" x14ac:dyDescent="0.3">
      <c r="H31" s="95"/>
    </row>
    <row r="32" spans="1:8" x14ac:dyDescent="0.3">
      <c r="A32" s="106" t="s">
        <v>218</v>
      </c>
      <c r="B32" s="161">
        <f>B26/B29*365</f>
        <v>84.668048609369777</v>
      </c>
      <c r="C32" s="161">
        <f t="shared" ref="C32:G32" si="5">C26/C29*365</f>
        <v>85.747646702524406</v>
      </c>
      <c r="D32" s="161">
        <f t="shared" si="5"/>
        <v>91.995559302254193</v>
      </c>
      <c r="E32" s="161">
        <f t="shared" si="5"/>
        <v>85.343675711028951</v>
      </c>
      <c r="F32" s="161">
        <f t="shared" si="5"/>
        <v>80.164437325634879</v>
      </c>
      <c r="G32" s="161">
        <f t="shared" si="5"/>
        <v>105.98922000632928</v>
      </c>
      <c r="H32" s="161">
        <f>H26/H29*365</f>
        <v>76.563287464990879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5DC-3FC7-4368-8FDC-6C6B50216411}">
  <dimension ref="A1:R43"/>
  <sheetViews>
    <sheetView showGridLines="0" zoomScaleNormal="100" workbookViewId="0"/>
  </sheetViews>
  <sheetFormatPr defaultColWidth="19" defaultRowHeight="14.4" x14ac:dyDescent="0.3"/>
  <cols>
    <col min="1" max="1" width="34.77734375" style="95" bestFit="1" customWidth="1"/>
    <col min="2" max="7" width="8.77734375" style="95" customWidth="1"/>
    <col min="8" max="8" width="6.21875" style="95" bestFit="1" customWidth="1"/>
    <col min="9" max="13" width="5.5546875" style="95" bestFit="1" customWidth="1"/>
    <col min="14" max="14" width="11.21875" style="95" customWidth="1"/>
    <col min="15" max="18" width="13.33203125" style="95" customWidth="1"/>
    <col min="19" max="16384" width="19" style="95"/>
  </cols>
  <sheetData>
    <row r="1" spans="1:18" x14ac:dyDescent="0.3">
      <c r="A1" s="162" t="str">
        <f>BS!A1</f>
        <v>FINE ORGANIC INDUSTRIES LIMITED</v>
      </c>
    </row>
    <row r="2" spans="1:18" x14ac:dyDescent="0.3">
      <c r="A2" s="163"/>
      <c r="B2" s="164"/>
      <c r="C2" s="164"/>
      <c r="D2" s="164"/>
      <c r="E2" s="164"/>
      <c r="F2" s="164"/>
      <c r="G2" s="164"/>
    </row>
    <row r="3" spans="1:18" x14ac:dyDescent="0.3">
      <c r="A3" s="94" t="s">
        <v>219</v>
      </c>
    </row>
    <row r="4" spans="1:18" x14ac:dyDescent="0.3">
      <c r="E4" s="94"/>
      <c r="F4" s="94"/>
      <c r="G4" s="96" t="s">
        <v>220</v>
      </c>
      <c r="P4" s="205" t="s">
        <v>221</v>
      </c>
      <c r="Q4" s="206"/>
      <c r="R4" s="207"/>
    </row>
    <row r="5" spans="1:18" ht="36" customHeight="1" x14ac:dyDescent="0.3">
      <c r="A5" s="165" t="s">
        <v>68</v>
      </c>
      <c r="B5" s="166" t="str">
        <f>BS!B4</f>
        <v>2019-20</v>
      </c>
      <c r="C5" s="166" t="str">
        <f>BS!C4</f>
        <v>2020-21</v>
      </c>
      <c r="D5" s="166" t="str">
        <f>BS!D4</f>
        <v>2021-22</v>
      </c>
      <c r="E5" s="166" t="str">
        <f>BS!E4</f>
        <v>2022-23</v>
      </c>
      <c r="F5" s="166" t="str">
        <f>BS!F4</f>
        <v>2023-24</v>
      </c>
      <c r="G5" s="166" t="str">
        <f>BS!G4</f>
        <v>2024-25</v>
      </c>
      <c r="N5" s="92" t="s">
        <v>222</v>
      </c>
      <c r="O5" s="167" t="s">
        <v>27</v>
      </c>
      <c r="P5" s="167" t="s">
        <v>223</v>
      </c>
      <c r="Q5" s="167" t="s">
        <v>224</v>
      </c>
      <c r="R5" s="167" t="s">
        <v>225</v>
      </c>
    </row>
    <row r="6" spans="1:18" x14ac:dyDescent="0.3">
      <c r="A6" s="168" t="s">
        <v>226</v>
      </c>
      <c r="B6" s="169">
        <f>BS!B19</f>
        <v>131.67150000000001</v>
      </c>
      <c r="C6" s="169">
        <f>BS!C19</f>
        <v>126.1794</v>
      </c>
      <c r="D6" s="169">
        <f>BS!D19</f>
        <v>235.5855</v>
      </c>
      <c r="E6" s="169">
        <f>BS!E19</f>
        <v>444.97550000000001</v>
      </c>
      <c r="F6" s="169">
        <f>BS!F19</f>
        <v>260.8922</v>
      </c>
      <c r="G6" s="169">
        <f>BS!G19</f>
        <v>362.91500000000002</v>
      </c>
      <c r="N6" s="170" t="str">
        <f>D5</f>
        <v>2021-22</v>
      </c>
      <c r="O6" s="171">
        <f>D15</f>
        <v>2.2123297944090972</v>
      </c>
      <c r="P6" s="172">
        <f>D8</f>
        <v>72.387818240960513</v>
      </c>
      <c r="Q6" s="172">
        <f>D22</f>
        <v>58.626523190399276</v>
      </c>
      <c r="R6" s="172">
        <f>D29</f>
        <v>38.861424076156638</v>
      </c>
    </row>
    <row r="7" spans="1:18" x14ac:dyDescent="0.3">
      <c r="A7" s="173" t="s">
        <v>227</v>
      </c>
      <c r="B7" s="174">
        <f>'P&amp;L Analysis'!B12</f>
        <v>609.30880000000013</v>
      </c>
      <c r="C7" s="174">
        <f>'P&amp;L Analysis'!C12</f>
        <v>726.0166999999999</v>
      </c>
      <c r="D7" s="174">
        <f>'P&amp;L Analysis'!D12</f>
        <v>1187.8892000000001</v>
      </c>
      <c r="E7" s="174">
        <f>'P&amp;L Analysis'!E12</f>
        <v>1784.1544999999999</v>
      </c>
      <c r="F7" s="174">
        <f>'P&amp;L Analysis'!F12</f>
        <v>1217.0339999999999</v>
      </c>
      <c r="G7" s="174">
        <f>'P&amp;L Analysis'!G12</f>
        <v>1328.5562000000002</v>
      </c>
      <c r="N7" s="175" t="str">
        <f>E5</f>
        <v>2022-23</v>
      </c>
      <c r="O7" s="176">
        <f>E15</f>
        <v>3.4355181068695213</v>
      </c>
      <c r="P7" s="177">
        <f>E8</f>
        <v>91.032507274454105</v>
      </c>
      <c r="Q7" s="177">
        <f>E22</f>
        <v>42.336283010493354</v>
      </c>
      <c r="R7" s="177">
        <f>E29</f>
        <v>30.33475048491696</v>
      </c>
    </row>
    <row r="8" spans="1:18" x14ac:dyDescent="0.3">
      <c r="A8" s="178" t="s">
        <v>228</v>
      </c>
      <c r="B8" s="179">
        <f t="shared" ref="B8:G8" si="0">B6/B7*365</f>
        <v>78.876421118487031</v>
      </c>
      <c r="C8" s="179">
        <f t="shared" si="0"/>
        <v>63.435842453761751</v>
      </c>
      <c r="D8" s="179">
        <f t="shared" si="0"/>
        <v>72.387818240960513</v>
      </c>
      <c r="E8" s="179">
        <f t="shared" si="0"/>
        <v>91.032507274454105</v>
      </c>
      <c r="F8" s="179">
        <f t="shared" si="0"/>
        <v>78.244036731923686</v>
      </c>
      <c r="G8" s="179">
        <f t="shared" si="0"/>
        <v>99.705210061870162</v>
      </c>
      <c r="N8" s="175" t="str">
        <f>F5</f>
        <v>2023-24</v>
      </c>
      <c r="O8" s="176">
        <f>F15</f>
        <v>2.2406593620002124</v>
      </c>
      <c r="P8" s="177">
        <f>F8</f>
        <v>78.244036731923686</v>
      </c>
      <c r="Q8" s="177">
        <f>F22</f>
        <v>53.524023415134693</v>
      </c>
      <c r="R8" s="177">
        <f>F29</f>
        <v>33.18575872638273</v>
      </c>
    </row>
    <row r="9" spans="1:18" x14ac:dyDescent="0.3">
      <c r="N9" s="180" t="str">
        <f>G5</f>
        <v>2024-25</v>
      </c>
      <c r="O9" s="181">
        <f>G15</f>
        <v>1.8275759449659243</v>
      </c>
      <c r="P9" s="182">
        <f>G8</f>
        <v>99.705210061870162</v>
      </c>
      <c r="Q9" s="182">
        <f>G22</f>
        <v>53.328461093258845</v>
      </c>
      <c r="R9" s="182">
        <f>G29</f>
        <v>34.521410064257857</v>
      </c>
    </row>
    <row r="10" spans="1:18" x14ac:dyDescent="0.3">
      <c r="A10" s="94" t="s">
        <v>229</v>
      </c>
    </row>
    <row r="11" spans="1:18" x14ac:dyDescent="0.3">
      <c r="D11" s="94"/>
      <c r="E11" s="94"/>
      <c r="F11" s="94"/>
      <c r="G11" s="94"/>
    </row>
    <row r="12" spans="1:18" x14ac:dyDescent="0.3">
      <c r="A12" s="165" t="s">
        <v>68</v>
      </c>
      <c r="B12" s="166" t="str">
        <f>B5</f>
        <v>2019-20</v>
      </c>
      <c r="C12" s="166" t="str">
        <f t="shared" ref="C12:G12" si="1">C5</f>
        <v>2020-21</v>
      </c>
      <c r="D12" s="166" t="str">
        <f t="shared" si="1"/>
        <v>2021-22</v>
      </c>
      <c r="E12" s="166" t="str">
        <f t="shared" si="1"/>
        <v>2022-23</v>
      </c>
      <c r="F12" s="166" t="str">
        <f t="shared" si="1"/>
        <v>2023-24</v>
      </c>
      <c r="G12" s="166" t="str">
        <f t="shared" si="1"/>
        <v>2024-25</v>
      </c>
    </row>
    <row r="13" spans="1:18" x14ac:dyDescent="0.3">
      <c r="A13" s="168" t="s">
        <v>230</v>
      </c>
      <c r="B13" s="169">
        <f>BS!B7</f>
        <v>215.9169</v>
      </c>
      <c r="C13" s="169">
        <f>BS!C7</f>
        <v>195.31150000000002</v>
      </c>
      <c r="D13" s="169">
        <f>BS!D7</f>
        <v>228.7345</v>
      </c>
      <c r="E13" s="169">
        <f>BS!E7</f>
        <v>211.23939999999999</v>
      </c>
      <c r="F13" s="169">
        <f>BS!F7</f>
        <v>262.49430000000001</v>
      </c>
      <c r="G13" s="169">
        <f>BS!G7</f>
        <v>358.31379999999996</v>
      </c>
    </row>
    <row r="14" spans="1:18" x14ac:dyDescent="0.3">
      <c r="A14" s="173" t="s">
        <v>231</v>
      </c>
      <c r="B14" s="174">
        <f>'P&amp;L Analysis'!B10</f>
        <v>1038.0797</v>
      </c>
      <c r="C14" s="174">
        <f>'P&amp;L Analysis'!C10</f>
        <v>1133.2184</v>
      </c>
      <c r="D14" s="174">
        <f>'P&amp;L Analysis'!D10</f>
        <v>1876.2592000000002</v>
      </c>
      <c r="E14" s="174">
        <f>'P&amp;L Analysis'!E10</f>
        <v>3023.0765999999999</v>
      </c>
      <c r="F14" s="174">
        <f>'P&amp;L Analysis'!F10</f>
        <v>2122.9517000000001</v>
      </c>
      <c r="G14" s="174">
        <f>'P&amp;L Analysis'!G10</f>
        <v>2269.1478999999999</v>
      </c>
    </row>
    <row r="15" spans="1:18" x14ac:dyDescent="0.3">
      <c r="A15" s="178" t="s">
        <v>232</v>
      </c>
      <c r="B15" s="183"/>
      <c r="C15" s="183">
        <f>C14/(C13+B13)/2</f>
        <v>1.3778454989976372</v>
      </c>
      <c r="D15" s="183">
        <f t="shared" ref="D15:G15" si="2">D14/(D13+C13)/2</f>
        <v>2.2123297944090972</v>
      </c>
      <c r="E15" s="183">
        <f t="shared" si="2"/>
        <v>3.4355181068695213</v>
      </c>
      <c r="F15" s="183">
        <f t="shared" si="2"/>
        <v>2.2406593620002124</v>
      </c>
      <c r="G15" s="183">
        <f t="shared" si="2"/>
        <v>1.8275759449659243</v>
      </c>
    </row>
    <row r="16" spans="1:18" x14ac:dyDescent="0.3">
      <c r="A16" s="184"/>
      <c r="B16" s="185"/>
      <c r="C16" s="185"/>
      <c r="D16" s="185"/>
      <c r="E16" s="185"/>
      <c r="F16" s="185"/>
      <c r="G16" s="185"/>
    </row>
    <row r="17" spans="1:7" x14ac:dyDescent="0.3">
      <c r="A17" s="94" t="s">
        <v>233</v>
      </c>
    </row>
    <row r="18" spans="1:7" x14ac:dyDescent="0.3">
      <c r="D18" s="94" t="str">
        <f>G4</f>
        <v>(no of days)</v>
      </c>
      <c r="E18" s="94"/>
      <c r="F18" s="94"/>
      <c r="G18" s="94"/>
    </row>
    <row r="19" spans="1:7" x14ac:dyDescent="0.3">
      <c r="A19" s="165" t="s">
        <v>68</v>
      </c>
      <c r="B19" s="166" t="str">
        <f t="shared" ref="B19:G19" si="3">B5</f>
        <v>2019-20</v>
      </c>
      <c r="C19" s="166" t="str">
        <f t="shared" si="3"/>
        <v>2020-21</v>
      </c>
      <c r="D19" s="166" t="str">
        <f t="shared" si="3"/>
        <v>2021-22</v>
      </c>
      <c r="E19" s="166" t="str">
        <f t="shared" si="3"/>
        <v>2022-23</v>
      </c>
      <c r="F19" s="166" t="str">
        <f t="shared" si="3"/>
        <v>2023-24</v>
      </c>
      <c r="G19" s="166" t="str">
        <f t="shared" si="3"/>
        <v>2024-25</v>
      </c>
    </row>
    <row r="20" spans="1:7" x14ac:dyDescent="0.3">
      <c r="A20" s="168" t="s">
        <v>234</v>
      </c>
      <c r="B20" s="169">
        <f>BS!B21</f>
        <v>132.33320000000001</v>
      </c>
      <c r="C20" s="169">
        <f>BS!C21</f>
        <v>161.62860000000001</v>
      </c>
      <c r="D20" s="169">
        <f>BS!D21</f>
        <v>301.36590000000001</v>
      </c>
      <c r="E20" s="169">
        <f>BS!E21</f>
        <v>350.64609999999999</v>
      </c>
      <c r="F20" s="169">
        <f>BS!F21</f>
        <v>311.31209999999999</v>
      </c>
      <c r="G20" s="169">
        <f>BS!G21</f>
        <v>331.53469999999999</v>
      </c>
    </row>
    <row r="21" spans="1:7" x14ac:dyDescent="0.3">
      <c r="A21" s="186" t="s">
        <v>235</v>
      </c>
      <c r="B21" s="174">
        <f>'P&amp;L Analysis'!B7</f>
        <v>1038.0797</v>
      </c>
      <c r="C21" s="174">
        <f>'P&amp;L Analysis'!C7</f>
        <v>1133.2184</v>
      </c>
      <c r="D21" s="174">
        <f>'P&amp;L Analysis'!D7</f>
        <v>1876.2592000000002</v>
      </c>
      <c r="E21" s="174">
        <f>'P&amp;L Analysis'!E7</f>
        <v>3023.0765999999999</v>
      </c>
      <c r="F21" s="174">
        <f>'P&amp;L Analysis'!F7</f>
        <v>2122.9517000000001</v>
      </c>
      <c r="G21" s="174">
        <f>'P&amp;L Analysis'!G7</f>
        <v>2269.1478999999999</v>
      </c>
    </row>
    <row r="22" spans="1:7" x14ac:dyDescent="0.3">
      <c r="A22" s="178" t="s">
        <v>228</v>
      </c>
      <c r="B22" s="179">
        <f t="shared" ref="B22:G22" si="4">B20/B21*365</f>
        <v>46.529778012227766</v>
      </c>
      <c r="C22" s="179">
        <f t="shared" si="4"/>
        <v>52.059196179659629</v>
      </c>
      <c r="D22" s="179">
        <f t="shared" si="4"/>
        <v>58.626523190399276</v>
      </c>
      <c r="E22" s="179">
        <f t="shared" si="4"/>
        <v>42.336283010493354</v>
      </c>
      <c r="F22" s="179">
        <f t="shared" si="4"/>
        <v>53.524023415134693</v>
      </c>
      <c r="G22" s="179">
        <f t="shared" si="4"/>
        <v>53.328461093258845</v>
      </c>
    </row>
    <row r="23" spans="1:7" x14ac:dyDescent="0.3">
      <c r="E23" s="144"/>
      <c r="F23" s="144"/>
      <c r="G23" s="144"/>
    </row>
    <row r="24" spans="1:7" x14ac:dyDescent="0.3">
      <c r="A24" s="94" t="s">
        <v>236</v>
      </c>
    </row>
    <row r="25" spans="1:7" x14ac:dyDescent="0.3">
      <c r="D25" s="94" t="str">
        <f>D18</f>
        <v>(no of days)</v>
      </c>
      <c r="E25" s="94"/>
      <c r="F25" s="94"/>
      <c r="G25" s="94"/>
    </row>
    <row r="26" spans="1:7" x14ac:dyDescent="0.3">
      <c r="A26" s="165" t="s">
        <v>68</v>
      </c>
      <c r="B26" s="166" t="str">
        <f t="shared" ref="B26:G26" si="5">B5</f>
        <v>2019-20</v>
      </c>
      <c r="C26" s="166" t="str">
        <f t="shared" si="5"/>
        <v>2020-21</v>
      </c>
      <c r="D26" s="166" t="str">
        <f t="shared" si="5"/>
        <v>2021-22</v>
      </c>
      <c r="E26" s="166" t="str">
        <f t="shared" si="5"/>
        <v>2022-23</v>
      </c>
      <c r="F26" s="166" t="str">
        <f t="shared" si="5"/>
        <v>2023-24</v>
      </c>
      <c r="G26" s="166" t="str">
        <f t="shared" si="5"/>
        <v>2024-25</v>
      </c>
    </row>
    <row r="27" spans="1:7" x14ac:dyDescent="0.3">
      <c r="A27" s="168" t="s">
        <v>237</v>
      </c>
      <c r="B27" s="169">
        <f>BS!B43</f>
        <v>85.750799999999998</v>
      </c>
      <c r="C27" s="169">
        <f>BS!C43</f>
        <v>97.781299999999987</v>
      </c>
      <c r="D27" s="169">
        <f>BS!D43</f>
        <v>153.55429999999998</v>
      </c>
      <c r="E27" s="169">
        <f>BS!E43</f>
        <v>175.83179999999999</v>
      </c>
      <c r="F27" s="169">
        <f>BS!F43</f>
        <v>135.40940000000001</v>
      </c>
      <c r="G27" s="169">
        <f>BS!G43</f>
        <v>155.45269999999999</v>
      </c>
    </row>
    <row r="28" spans="1:7" x14ac:dyDescent="0.3">
      <c r="A28" s="186" t="s">
        <v>238</v>
      </c>
      <c r="B28" s="174">
        <f>'P&amp;L Analysis'!B12+'P&amp;L Analysis'!B20</f>
        <v>725.15240000000017</v>
      </c>
      <c r="C28" s="174">
        <f>'P&amp;L Analysis'!C12+'P&amp;L Analysis'!C20</f>
        <v>854.39629999999988</v>
      </c>
      <c r="D28" s="174">
        <f>'P&amp;L Analysis'!D12+'P&amp;L Analysis'!D20</f>
        <v>1422.4787000000001</v>
      </c>
      <c r="E28" s="174">
        <f>'P&amp;L Analysis'!E12+'P&amp;L Analysis'!E20</f>
        <v>2086.6974999999998</v>
      </c>
      <c r="F28" s="174">
        <f>'P&amp;L Analysis'!F12+'P&amp;L Analysis'!F20</f>
        <v>1468.9247999999998</v>
      </c>
      <c r="G28" s="174">
        <f>'P&amp;L Analysis'!G12+'P&amp;L Analysis'!G20</f>
        <v>1621.1091000000001</v>
      </c>
    </row>
    <row r="29" spans="1:7" x14ac:dyDescent="0.3">
      <c r="A29" s="178" t="s">
        <v>228</v>
      </c>
      <c r="B29" s="179">
        <f t="shared" ref="B29:G29" si="6">B27*12/B28*30</f>
        <v>42.570758919090643</v>
      </c>
      <c r="C29" s="179">
        <f t="shared" si="6"/>
        <v>41.200164373371003</v>
      </c>
      <c r="D29" s="179">
        <f t="shared" si="6"/>
        <v>38.861424076156638</v>
      </c>
      <c r="E29" s="179">
        <f t="shared" si="6"/>
        <v>30.33475048491696</v>
      </c>
      <c r="F29" s="179">
        <f t="shared" si="6"/>
        <v>33.18575872638273</v>
      </c>
      <c r="G29" s="179">
        <f t="shared" si="6"/>
        <v>34.521410064257857</v>
      </c>
    </row>
    <row r="31" spans="1:7" x14ac:dyDescent="0.3">
      <c r="A31" s="94" t="s">
        <v>239</v>
      </c>
    </row>
    <row r="32" spans="1:7" x14ac:dyDescent="0.3">
      <c r="A32" s="94"/>
      <c r="D32" s="94" t="s">
        <v>10</v>
      </c>
      <c r="E32" s="94"/>
      <c r="F32" s="94"/>
      <c r="G32" s="94"/>
    </row>
    <row r="33" spans="1:14" x14ac:dyDescent="0.3">
      <c r="A33" s="165" t="s">
        <v>68</v>
      </c>
      <c r="B33" s="166" t="str">
        <f t="shared" ref="B33:G33" si="7">B26</f>
        <v>2019-20</v>
      </c>
      <c r="C33" s="166" t="str">
        <f t="shared" si="7"/>
        <v>2020-21</v>
      </c>
      <c r="D33" s="166" t="str">
        <f t="shared" si="7"/>
        <v>2021-22</v>
      </c>
      <c r="E33" s="166" t="str">
        <f t="shared" si="7"/>
        <v>2022-23</v>
      </c>
      <c r="F33" s="166" t="str">
        <f t="shared" si="7"/>
        <v>2023-24</v>
      </c>
      <c r="G33" s="166" t="str">
        <f t="shared" si="7"/>
        <v>2024-25</v>
      </c>
    </row>
    <row r="34" spans="1:14" x14ac:dyDescent="0.3">
      <c r="A34" s="113" t="s">
        <v>240</v>
      </c>
      <c r="B34" s="187">
        <f>BS!B36+BS!B41</f>
        <v>91.460800000000006</v>
      </c>
      <c r="C34" s="187">
        <f>BS!C36+BS!C41</f>
        <v>89.172799999999995</v>
      </c>
      <c r="D34" s="187">
        <f>BS!D36+BS!D41</f>
        <v>58.527500000000003</v>
      </c>
      <c r="E34" s="187">
        <f>BS!E36+BS!E41</f>
        <v>27.204099999999997</v>
      </c>
      <c r="F34" s="187">
        <f>BS!F36+BS!F41</f>
        <v>0</v>
      </c>
      <c r="G34" s="187">
        <f>BS!G36+BS!G41</f>
        <v>0</v>
      </c>
      <c r="H34" s="145"/>
      <c r="I34" s="145"/>
      <c r="J34" s="145"/>
      <c r="K34" s="145"/>
      <c r="L34" s="145"/>
      <c r="M34" s="145"/>
      <c r="N34" s="145"/>
    </row>
    <row r="35" spans="1:14" x14ac:dyDescent="0.3">
      <c r="A35" s="188" t="s">
        <v>241</v>
      </c>
      <c r="B35" s="189">
        <f>BS!B34-BS!B33</f>
        <v>618.89070000000004</v>
      </c>
      <c r="C35" s="189">
        <f>BS!C34-BS!C33</f>
        <v>731.38670000000002</v>
      </c>
      <c r="D35" s="189">
        <f>BS!D34-BS!D33</f>
        <v>959.20190000000002</v>
      </c>
      <c r="E35" s="189">
        <f>BS!E34-BS!E33</f>
        <v>1541.2489</v>
      </c>
      <c r="F35" s="189">
        <f>BS!F34-BS!F33</f>
        <v>1921.0491</v>
      </c>
      <c r="G35" s="189">
        <f>BS!G34-BS!G33</f>
        <v>2295.2303999999999</v>
      </c>
    </row>
    <row r="36" spans="1:14" x14ac:dyDescent="0.3">
      <c r="A36" s="190" t="s">
        <v>242</v>
      </c>
      <c r="B36" s="191">
        <f>B34/(B34+B35)</f>
        <v>0.12875428573037434</v>
      </c>
      <c r="C36" s="191">
        <f t="shared" ref="C36:G36" si="8">C34/(C34+C35)</f>
        <v>0.10867316751557929</v>
      </c>
      <c r="D36" s="191">
        <f t="shared" si="8"/>
        <v>5.7507919099123991E-2</v>
      </c>
      <c r="E36" s="191">
        <f t="shared" si="8"/>
        <v>1.7344542679952793E-2</v>
      </c>
      <c r="F36" s="191">
        <f t="shared" si="8"/>
        <v>0</v>
      </c>
      <c r="G36" s="191">
        <f t="shared" si="8"/>
        <v>0</v>
      </c>
    </row>
    <row r="38" spans="1:14" x14ac:dyDescent="0.3">
      <c r="A38" s="94" t="s">
        <v>243</v>
      </c>
    </row>
    <row r="39" spans="1:14" x14ac:dyDescent="0.3">
      <c r="A39" s="94"/>
      <c r="D39" s="94" t="s">
        <v>10</v>
      </c>
      <c r="E39" s="94"/>
      <c r="F39" s="94"/>
      <c r="G39" s="94"/>
    </row>
    <row r="40" spans="1:14" x14ac:dyDescent="0.3">
      <c r="A40" s="165" t="s">
        <v>68</v>
      </c>
      <c r="B40" s="166" t="str">
        <f t="shared" ref="B40:G40" si="9">B33</f>
        <v>2019-20</v>
      </c>
      <c r="C40" s="166" t="str">
        <f t="shared" si="9"/>
        <v>2020-21</v>
      </c>
      <c r="D40" s="166" t="str">
        <f t="shared" si="9"/>
        <v>2021-22</v>
      </c>
      <c r="E40" s="166" t="str">
        <f t="shared" si="9"/>
        <v>2022-23</v>
      </c>
      <c r="F40" s="166" t="str">
        <f t="shared" si="9"/>
        <v>2023-24</v>
      </c>
      <c r="G40" s="166" t="str">
        <f t="shared" si="9"/>
        <v>2024-25</v>
      </c>
    </row>
    <row r="41" spans="1:14" x14ac:dyDescent="0.3">
      <c r="A41" s="113" t="s">
        <v>244</v>
      </c>
      <c r="B41" s="187">
        <f>'P&amp;L Analysis'!B28</f>
        <v>4.8211000000000004</v>
      </c>
      <c r="C41" s="187">
        <f>'P&amp;L Analysis'!C28</f>
        <v>6.1298000000000004</v>
      </c>
      <c r="D41" s="187">
        <f>'P&amp;L Analysis'!D28</f>
        <v>4.9414999999999996</v>
      </c>
      <c r="E41" s="187">
        <f>'P&amp;L Analysis'!E28</f>
        <v>4.5678000000000001</v>
      </c>
      <c r="F41" s="187">
        <f>'P&amp;L Analysis'!F28</f>
        <v>2.4330000000000003</v>
      </c>
      <c r="G41" s="187">
        <f>'P&amp;L Analysis'!G28</f>
        <v>2.1956000000000002</v>
      </c>
    </row>
    <row r="42" spans="1:14" x14ac:dyDescent="0.3">
      <c r="A42" s="188" t="s">
        <v>245</v>
      </c>
      <c r="B42" s="189">
        <f>B34</f>
        <v>91.460800000000006</v>
      </c>
      <c r="C42" s="189">
        <f t="shared" ref="C42:G42" si="10">C34</f>
        <v>89.172799999999995</v>
      </c>
      <c r="D42" s="189">
        <f t="shared" si="10"/>
        <v>58.527500000000003</v>
      </c>
      <c r="E42" s="189">
        <f t="shared" si="10"/>
        <v>27.204099999999997</v>
      </c>
      <c r="F42" s="189">
        <f t="shared" si="10"/>
        <v>0</v>
      </c>
      <c r="G42" s="189">
        <f t="shared" si="10"/>
        <v>0</v>
      </c>
    </row>
    <row r="43" spans="1:14" x14ac:dyDescent="0.3">
      <c r="A43" s="190" t="s">
        <v>246</v>
      </c>
      <c r="B43" s="191">
        <f t="shared" ref="B43:G43" si="11">B41/B42</f>
        <v>5.2712200199429703E-2</v>
      </c>
      <c r="C43" s="191">
        <f t="shared" si="11"/>
        <v>6.8740692229020517E-2</v>
      </c>
      <c r="D43" s="191">
        <f t="shared" si="11"/>
        <v>8.4430395967707475E-2</v>
      </c>
      <c r="E43" s="191">
        <f t="shared" si="11"/>
        <v>0.16790851379020078</v>
      </c>
      <c r="F43" s="191">
        <f>IFERROR(F41/F42,0)</f>
        <v>0</v>
      </c>
      <c r="G43" s="191">
        <f>IFERROR(G41/G42,0)</f>
        <v>0</v>
      </c>
    </row>
  </sheetData>
  <mergeCells count="1">
    <mergeCell ref="P4:R4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9539-5FC7-4DF1-9B4B-07B53ED09283}">
  <sheetPr>
    <tabColor theme="6" tint="0.59999389629810485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608C-16AD-428F-8552-A83F2D6C0911}">
  <dimension ref="A2:M79"/>
  <sheetViews>
    <sheetView showGridLines="0" topLeftCell="A54" zoomScaleNormal="100" workbookViewId="0">
      <selection activeCell="C46" sqref="C46"/>
    </sheetView>
  </sheetViews>
  <sheetFormatPr defaultColWidth="8.77734375" defaultRowHeight="14.4" x14ac:dyDescent="0.3"/>
  <cols>
    <col min="1" max="1" width="8.77734375" style="11"/>
    <col min="2" max="2" width="30.5546875" style="11" bestFit="1" customWidth="1"/>
    <col min="3" max="3" width="11.33203125" style="11" bestFit="1" customWidth="1"/>
    <col min="4" max="7" width="11.21875" style="11" bestFit="1" customWidth="1"/>
    <col min="8" max="16384" width="8.77734375" style="11"/>
  </cols>
  <sheetData>
    <row r="2" spans="1:8" x14ac:dyDescent="0.3">
      <c r="A2" s="14">
        <v>1</v>
      </c>
      <c r="B2" s="15" t="s">
        <v>25</v>
      </c>
      <c r="C2" s="5" t="s">
        <v>1</v>
      </c>
      <c r="D2" s="5" t="s">
        <v>22</v>
      </c>
      <c r="E2" s="5" t="s">
        <v>2</v>
      </c>
    </row>
    <row r="3" spans="1:8" x14ac:dyDescent="0.3">
      <c r="B3" s="11" t="s">
        <v>18</v>
      </c>
      <c r="C3" s="8">
        <f>'P&amp;L Analysis'!E7</f>
        <v>3023.0765999999999</v>
      </c>
      <c r="D3" s="6">
        <f>'P&amp;L Analysis'!F7</f>
        <v>2122.9517000000001</v>
      </c>
      <c r="E3" s="6">
        <f>'P&amp;L Analysis'!G7</f>
        <v>2269.1478999999999</v>
      </c>
    </row>
    <row r="4" spans="1:8" x14ac:dyDescent="0.3">
      <c r="B4" s="11" t="s">
        <v>19</v>
      </c>
      <c r="C4" s="24">
        <f>Proj_PL!B18</f>
        <v>98170</v>
      </c>
      <c r="D4" s="23">
        <f>Proj_PL!C18</f>
        <v>99170</v>
      </c>
      <c r="E4" s="23">
        <f>Proj_PL!D18</f>
        <v>99170</v>
      </c>
    </row>
    <row r="5" spans="1:8" x14ac:dyDescent="0.3">
      <c r="B5" s="11" t="s">
        <v>20</v>
      </c>
      <c r="C5" s="25">
        <f>C3*10^7/C4</f>
        <v>307943.01721503516</v>
      </c>
      <c r="D5" s="19">
        <f t="shared" ref="D5:E5" si="0">D3*10^7/D4</f>
        <v>214071.96732882928</v>
      </c>
      <c r="E5" s="19">
        <f t="shared" si="0"/>
        <v>228813.94574972271</v>
      </c>
    </row>
    <row r="6" spans="1:8" x14ac:dyDescent="0.3">
      <c r="B6" s="11" t="s">
        <v>23</v>
      </c>
      <c r="C6" s="26">
        <f>AVERAGE(D5:E5)</f>
        <v>221442.956539276</v>
      </c>
      <c r="D6" s="13"/>
    </row>
    <row r="7" spans="1:8" x14ac:dyDescent="0.3">
      <c r="C7" s="27"/>
      <c r="D7" s="13"/>
    </row>
    <row r="8" spans="1:8" x14ac:dyDescent="0.3">
      <c r="C8" s="27"/>
      <c r="D8" s="13"/>
    </row>
    <row r="9" spans="1:8" x14ac:dyDescent="0.3">
      <c r="C9" s="27"/>
      <c r="D9" s="13"/>
    </row>
    <row r="10" spans="1:8" x14ac:dyDescent="0.3">
      <c r="C10" s="27"/>
      <c r="D10" s="13"/>
    </row>
    <row r="11" spans="1:8" x14ac:dyDescent="0.3">
      <c r="C11" s="27"/>
      <c r="D11" s="13"/>
    </row>
    <row r="12" spans="1:8" ht="4.95" customHeight="1" x14ac:dyDescent="0.3">
      <c r="C12" s="27"/>
      <c r="D12" s="13"/>
    </row>
    <row r="13" spans="1:8" x14ac:dyDescent="0.3">
      <c r="C13" s="27"/>
      <c r="D13" s="13"/>
    </row>
    <row r="14" spans="1:8" x14ac:dyDescent="0.3">
      <c r="C14" s="27"/>
      <c r="D14" s="13"/>
    </row>
    <row r="15" spans="1:8" x14ac:dyDescent="0.3">
      <c r="C15" s="27"/>
      <c r="D15" s="13"/>
      <c r="H15" s="12" t="s">
        <v>96</v>
      </c>
    </row>
    <row r="16" spans="1:8" x14ac:dyDescent="0.3">
      <c r="C16" s="27"/>
      <c r="D16" s="13"/>
    </row>
    <row r="17" spans="1:13" x14ac:dyDescent="0.3">
      <c r="B17" s="12" t="s">
        <v>97</v>
      </c>
      <c r="C17" s="27"/>
      <c r="D17" s="13"/>
    </row>
    <row r="19" spans="1:13" x14ac:dyDescent="0.3">
      <c r="A19" s="14">
        <v>2</v>
      </c>
      <c r="B19" s="15" t="s">
        <v>26</v>
      </c>
    </row>
    <row r="20" spans="1:13" x14ac:dyDescent="0.3">
      <c r="C20" s="5" t="s">
        <v>21</v>
      </c>
      <c r="D20" s="5" t="s">
        <v>1</v>
      </c>
      <c r="E20" s="5" t="s">
        <v>22</v>
      </c>
      <c r="F20" s="5" t="s">
        <v>2</v>
      </c>
    </row>
    <row r="21" spans="1:13" x14ac:dyDescent="0.3">
      <c r="B21" s="11" t="s">
        <v>54</v>
      </c>
      <c r="C21" s="8">
        <f>Ratios!D13</f>
        <v>228.7345</v>
      </c>
      <c r="D21" s="6">
        <f>Ratios!E13</f>
        <v>211.23939999999999</v>
      </c>
      <c r="E21" s="6">
        <f>Ratios!F13</f>
        <v>262.49430000000001</v>
      </c>
      <c r="F21" s="6">
        <f>Ratios!G13</f>
        <v>358.31379999999996</v>
      </c>
    </row>
    <row r="22" spans="1:13" x14ac:dyDescent="0.3">
      <c r="B22" s="11" t="s">
        <v>18</v>
      </c>
      <c r="C22" s="16"/>
      <c r="D22" s="7">
        <f>Ratios!E14</f>
        <v>3023.0765999999999</v>
      </c>
      <c r="E22" s="7">
        <f>Ratios!F14</f>
        <v>2122.9517000000001</v>
      </c>
      <c r="F22" s="7">
        <f>Ratios!G14</f>
        <v>2269.1478999999999</v>
      </c>
    </row>
    <row r="23" spans="1:13" x14ac:dyDescent="0.3">
      <c r="B23" s="11" t="s">
        <v>27</v>
      </c>
      <c r="C23" s="17"/>
      <c r="D23" s="18">
        <f>D22/(D21+C21)/2</f>
        <v>3.4355181068695213</v>
      </c>
      <c r="E23" s="19">
        <f>E22/(E21+D21)/2</f>
        <v>2.2406593620002124</v>
      </c>
      <c r="F23" s="19">
        <f>F22/(F21+E21)/2</f>
        <v>1.8275759449659243</v>
      </c>
    </row>
    <row r="24" spans="1:13" x14ac:dyDescent="0.3">
      <c r="B24" s="11" t="s">
        <v>23</v>
      </c>
      <c r="C24" s="26">
        <f>AVERAGE(E23:F23)</f>
        <v>2.0341176534830683</v>
      </c>
    </row>
    <row r="25" spans="1:13" ht="4.95" customHeight="1" x14ac:dyDescent="0.3">
      <c r="C25" s="27"/>
    </row>
    <row r="26" spans="1:13" x14ac:dyDescent="0.3">
      <c r="B26" s="33" t="s">
        <v>24</v>
      </c>
      <c r="C26" s="34">
        <v>750</v>
      </c>
      <c r="D26" s="11" t="s">
        <v>28</v>
      </c>
      <c r="E26" s="12" t="s">
        <v>45</v>
      </c>
    </row>
    <row r="27" spans="1:13" ht="28.8" x14ac:dyDescent="0.3">
      <c r="B27" s="38" t="s">
        <v>31</v>
      </c>
      <c r="C27" s="39">
        <f>C26*C24</f>
        <v>1525.5882401123013</v>
      </c>
      <c r="D27" s="208" t="s">
        <v>32</v>
      </c>
      <c r="E27" s="208"/>
      <c r="F27" s="208"/>
      <c r="G27" s="208"/>
      <c r="H27" s="208"/>
      <c r="I27" s="208"/>
      <c r="J27" s="208"/>
      <c r="K27" s="208"/>
      <c r="L27" s="208"/>
      <c r="M27" s="208"/>
    </row>
    <row r="29" spans="1:13" x14ac:dyDescent="0.3">
      <c r="A29" s="14">
        <v>2</v>
      </c>
      <c r="B29" s="15" t="s">
        <v>35</v>
      </c>
      <c r="C29" s="20" t="s">
        <v>10</v>
      </c>
    </row>
    <row r="30" spans="1:13" x14ac:dyDescent="0.3">
      <c r="B30" s="28" t="s">
        <v>36</v>
      </c>
      <c r="C30" s="29" t="s">
        <v>39</v>
      </c>
    </row>
    <row r="31" spans="1:13" x14ac:dyDescent="0.3">
      <c r="B31" s="33" t="s">
        <v>37</v>
      </c>
      <c r="C31" s="34">
        <v>96</v>
      </c>
      <c r="D31" s="12" t="s">
        <v>77</v>
      </c>
    </row>
    <row r="32" spans="1:13" x14ac:dyDescent="0.3">
      <c r="B32" s="35" t="s">
        <v>42</v>
      </c>
      <c r="C32" s="36">
        <f>SUM(BS!$G$22:$G$23,BS!$G$14)</f>
        <v>1168.9695999999999</v>
      </c>
      <c r="D32" s="12" t="s">
        <v>78</v>
      </c>
    </row>
    <row r="33" spans="1:8" x14ac:dyDescent="0.3">
      <c r="B33" s="35" t="s">
        <v>43</v>
      </c>
      <c r="C33" s="36">
        <f>C32-C26</f>
        <v>418.9695999999999</v>
      </c>
    </row>
    <row r="34" spans="1:8" x14ac:dyDescent="0.3">
      <c r="B34" s="35" t="s">
        <v>44</v>
      </c>
      <c r="C34" s="36">
        <v>400</v>
      </c>
      <c r="D34" s="12" t="s">
        <v>46</v>
      </c>
    </row>
    <row r="35" spans="1:8" x14ac:dyDescent="0.3">
      <c r="B35" s="35" t="s">
        <v>38</v>
      </c>
      <c r="C35" s="37">
        <v>1.2</v>
      </c>
      <c r="D35" s="12" t="s">
        <v>55</v>
      </c>
    </row>
    <row r="36" spans="1:8" ht="28.8" x14ac:dyDescent="0.3">
      <c r="B36" s="38" t="s">
        <v>40</v>
      </c>
      <c r="C36" s="39">
        <f>(C31+C34)*C35</f>
        <v>595.19999999999993</v>
      </c>
    </row>
    <row r="38" spans="1:8" x14ac:dyDescent="0.3">
      <c r="A38" s="14">
        <v>3</v>
      </c>
      <c r="B38" s="15" t="s">
        <v>48</v>
      </c>
    </row>
    <row r="39" spans="1:8" ht="28.8" x14ac:dyDescent="0.3">
      <c r="B39" s="31" t="s">
        <v>52</v>
      </c>
      <c r="C39" s="32">
        <f>ROUND(AVERAGE('P&amp;L Analysis'!$C$14:$D$14,'P&amp;L Analysis'!$F$14:$G$14),1)</f>
        <v>0.6</v>
      </c>
      <c r="D39" s="22"/>
    </row>
    <row r="41" spans="1:8" x14ac:dyDescent="0.3">
      <c r="A41" s="14">
        <v>4</v>
      </c>
      <c r="B41" s="15" t="s">
        <v>57</v>
      </c>
    </row>
    <row r="42" spans="1:8" x14ac:dyDescent="0.3">
      <c r="C42" s="1" t="s">
        <v>4</v>
      </c>
      <c r="D42" s="1" t="s">
        <v>5</v>
      </c>
      <c r="E42" s="1" t="s">
        <v>6</v>
      </c>
      <c r="F42" s="1" t="s">
        <v>7</v>
      </c>
      <c r="G42" s="1" t="s">
        <v>8</v>
      </c>
    </row>
    <row r="43" spans="1:8" x14ac:dyDescent="0.3">
      <c r="B43" s="11" t="s">
        <v>58</v>
      </c>
      <c r="C43" s="30">
        <v>0.06</v>
      </c>
      <c r="D43" s="30">
        <v>6.5000000000000002E-2</v>
      </c>
      <c r="E43" s="30">
        <v>6.5000000000000002E-2</v>
      </c>
      <c r="F43" s="30">
        <v>7.0000000000000007E-2</v>
      </c>
      <c r="G43" s="30">
        <v>7.0000000000000007E-2</v>
      </c>
      <c r="H43" s="12" t="s">
        <v>59</v>
      </c>
    </row>
    <row r="45" spans="1:8" x14ac:dyDescent="0.3">
      <c r="A45" s="14">
        <v>5</v>
      </c>
      <c r="B45" s="15" t="s">
        <v>60</v>
      </c>
    </row>
    <row r="46" spans="1:8" ht="28.8" x14ac:dyDescent="0.3">
      <c r="B46" s="31" t="s">
        <v>61</v>
      </c>
      <c r="C46" s="32">
        <f>AVERAGE('P&amp;L Analysis'!$C$22:$D$22,'P&amp;L Analysis'!$F$22:$G$22)</f>
        <v>0.12147389501645797</v>
      </c>
      <c r="D46" s="210"/>
    </row>
    <row r="48" spans="1:8" x14ac:dyDescent="0.3">
      <c r="A48" s="14">
        <v>6</v>
      </c>
      <c r="B48" s="15" t="s">
        <v>63</v>
      </c>
    </row>
    <row r="49" spans="1:9" x14ac:dyDescent="0.3">
      <c r="B49" s="11" t="s">
        <v>64</v>
      </c>
    </row>
    <row r="50" spans="1:9" x14ac:dyDescent="0.3">
      <c r="B50" s="12" t="s">
        <v>65</v>
      </c>
      <c r="C50" s="27"/>
      <c r="D50" s="42"/>
    </row>
    <row r="51" spans="1:9" x14ac:dyDescent="0.3">
      <c r="B51" s="40" t="s">
        <v>66</v>
      </c>
      <c r="C51" s="43">
        <f>7256.59/100</f>
        <v>72.565899999999999</v>
      </c>
      <c r="D51" s="41" t="s">
        <v>28</v>
      </c>
    </row>
    <row r="52" spans="1:9" x14ac:dyDescent="0.3">
      <c r="B52" s="11" t="s">
        <v>79</v>
      </c>
    </row>
    <row r="54" spans="1:9" x14ac:dyDescent="0.3">
      <c r="A54" s="14">
        <v>7</v>
      </c>
      <c r="B54" s="15" t="s">
        <v>80</v>
      </c>
    </row>
    <row r="55" spans="1:9" x14ac:dyDescent="0.3">
      <c r="B55" s="1"/>
      <c r="C55" s="1"/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</row>
    <row r="56" spans="1:9" x14ac:dyDescent="0.3">
      <c r="B56" s="74" t="s">
        <v>81</v>
      </c>
      <c r="C56" s="74"/>
      <c r="D56" s="79">
        <v>30</v>
      </c>
      <c r="E56" s="85">
        <f>D56</f>
        <v>30</v>
      </c>
      <c r="F56" s="85">
        <f t="shared" ref="F56:H56" si="1">E56</f>
        <v>30</v>
      </c>
      <c r="G56" s="85">
        <f t="shared" si="1"/>
        <v>30</v>
      </c>
      <c r="H56" s="85">
        <f t="shared" si="1"/>
        <v>30</v>
      </c>
      <c r="I56" s="12" t="s">
        <v>101</v>
      </c>
    </row>
    <row r="57" spans="1:9" x14ac:dyDescent="0.3">
      <c r="B57" s="16" t="s">
        <v>82</v>
      </c>
      <c r="C57" s="16"/>
      <c r="D57" s="16"/>
      <c r="E57" s="16"/>
      <c r="F57" s="16"/>
      <c r="G57" s="16"/>
      <c r="H57" s="16"/>
    </row>
    <row r="58" spans="1:9" x14ac:dyDescent="0.3">
      <c r="B58" s="77" t="s">
        <v>83</v>
      </c>
      <c r="C58" s="77"/>
      <c r="D58" s="75">
        <f>$C$26*25%</f>
        <v>187.5</v>
      </c>
      <c r="E58" s="75">
        <f>$C$26*25%</f>
        <v>187.5</v>
      </c>
      <c r="F58" s="75">
        <f>$C$26*20%</f>
        <v>150</v>
      </c>
      <c r="G58" s="75">
        <f>$C$26*10%</f>
        <v>75</v>
      </c>
      <c r="H58" s="16"/>
      <c r="I58" s="12" t="s">
        <v>100</v>
      </c>
    </row>
    <row r="59" spans="1:9" x14ac:dyDescent="0.3">
      <c r="B59" s="78" t="s">
        <v>84</v>
      </c>
      <c r="C59" s="78"/>
      <c r="D59" s="76">
        <f>$C$34*10%</f>
        <v>40</v>
      </c>
      <c r="E59" s="76">
        <f>$C$34*40%</f>
        <v>160</v>
      </c>
      <c r="F59" s="76">
        <f>$C$34*30%</f>
        <v>120</v>
      </c>
      <c r="G59" s="76">
        <f>$C$34*10%</f>
        <v>40</v>
      </c>
      <c r="H59" s="76">
        <f>$C$34*10%</f>
        <v>40</v>
      </c>
      <c r="I59" s="12" t="s">
        <v>95</v>
      </c>
    </row>
    <row r="60" spans="1:9" x14ac:dyDescent="0.3">
      <c r="B60" s="72" t="s">
        <v>85</v>
      </c>
      <c r="C60" s="72"/>
      <c r="D60" s="73">
        <f>SUM(D56:D59)</f>
        <v>257.5</v>
      </c>
      <c r="E60" s="73">
        <f t="shared" ref="E60:H60" si="2">SUM(E56:E59)</f>
        <v>377.5</v>
      </c>
      <c r="F60" s="73">
        <f t="shared" si="2"/>
        <v>300</v>
      </c>
      <c r="G60" s="73">
        <f t="shared" si="2"/>
        <v>145</v>
      </c>
      <c r="H60" s="73">
        <f t="shared" si="2"/>
        <v>70</v>
      </c>
    </row>
    <row r="62" spans="1:9" x14ac:dyDescent="0.3">
      <c r="A62" s="14">
        <v>8</v>
      </c>
      <c r="B62" s="15" t="s">
        <v>86</v>
      </c>
    </row>
    <row r="63" spans="1:9" x14ac:dyDescent="0.3">
      <c r="C63" s="1" t="s">
        <v>2</v>
      </c>
      <c r="D63" s="1" t="s">
        <v>4</v>
      </c>
      <c r="E63" s="1" t="s">
        <v>5</v>
      </c>
      <c r="F63" s="1" t="s">
        <v>6</v>
      </c>
      <c r="G63" s="1" t="s">
        <v>7</v>
      </c>
      <c r="H63" s="1" t="s">
        <v>8</v>
      </c>
    </row>
    <row r="64" spans="1:9" x14ac:dyDescent="0.3">
      <c r="B64" s="11" t="s">
        <v>87</v>
      </c>
      <c r="C64" s="79">
        <f>64757.02/100</f>
        <v>647.5702</v>
      </c>
      <c r="D64" s="79">
        <f>SUM(C64:C66)</f>
        <v>789.93819999999994</v>
      </c>
      <c r="E64" s="79">
        <f t="shared" ref="E64:H64" si="3">SUM(D64:D66)</f>
        <v>1017.4381999999999</v>
      </c>
      <c r="F64" s="79">
        <f t="shared" si="3"/>
        <v>1364.9382000000001</v>
      </c>
      <c r="G64" s="79">
        <f t="shared" si="3"/>
        <v>1634.9382000000001</v>
      </c>
      <c r="H64" s="79">
        <f t="shared" si="3"/>
        <v>1749.9382000000001</v>
      </c>
    </row>
    <row r="65" spans="1:8" x14ac:dyDescent="0.3">
      <c r="B65" s="11" t="s">
        <v>88</v>
      </c>
      <c r="C65" s="80">
        <f>14495.52/100</f>
        <v>144.95519999999999</v>
      </c>
      <c r="D65" s="80">
        <f>D60-D56</f>
        <v>227.5</v>
      </c>
      <c r="E65" s="80">
        <f t="shared" ref="E65:H65" si="4">E60-E56</f>
        <v>347.5</v>
      </c>
      <c r="F65" s="80">
        <f t="shared" si="4"/>
        <v>270</v>
      </c>
      <c r="G65" s="80">
        <f t="shared" si="4"/>
        <v>115</v>
      </c>
      <c r="H65" s="80">
        <f t="shared" si="4"/>
        <v>40</v>
      </c>
    </row>
    <row r="66" spans="1:8" x14ac:dyDescent="0.3">
      <c r="B66" s="11" t="s">
        <v>89</v>
      </c>
      <c r="C66" s="80">
        <f>-258.72/100</f>
        <v>-2.5872000000000002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</row>
    <row r="67" spans="1:8" x14ac:dyDescent="0.3">
      <c r="B67" s="11" t="s">
        <v>90</v>
      </c>
      <c r="C67" s="81">
        <f>-43162.4/100</f>
        <v>-431.62400000000002</v>
      </c>
      <c r="D67" s="81">
        <f>C67-SUM(D64:D66)*$C$70</f>
        <v>-498.98135984769442</v>
      </c>
      <c r="E67" s="81">
        <f>D67-SUM(E64:E66)*$C$70</f>
        <v>-589.34422759461438</v>
      </c>
      <c r="F67" s="81">
        <f t="shared" ref="F67:H67" si="5">E67-SUM(F64:F66)*$C$70</f>
        <v>-697.58187845747932</v>
      </c>
      <c r="G67" s="81">
        <f t="shared" si="5"/>
        <v>-813.4328628697283</v>
      </c>
      <c r="H67" s="81">
        <f t="shared" si="5"/>
        <v>-931.93196329915429</v>
      </c>
    </row>
    <row r="68" spans="1:8" x14ac:dyDescent="0.3">
      <c r="B68" s="11" t="s">
        <v>91</v>
      </c>
      <c r="C68" s="73">
        <f>SUM(C64:C67)</f>
        <v>358.31419999999991</v>
      </c>
      <c r="D68" s="73">
        <f>SUM(D64:D67)</f>
        <v>518.45684015230552</v>
      </c>
      <c r="E68" s="73">
        <f t="shared" ref="E68" si="6">SUM(E64:E67)</f>
        <v>775.59397240538567</v>
      </c>
      <c r="F68" s="73">
        <f t="shared" ref="F68" si="7">SUM(F64:F67)</f>
        <v>937.35632154252073</v>
      </c>
      <c r="G68" s="73">
        <f t="shared" ref="G68" si="8">SUM(G64:G67)</f>
        <v>936.50533713027176</v>
      </c>
      <c r="H68" s="73">
        <f t="shared" ref="H68" si="9">SUM(H64:H67)</f>
        <v>858.00623670084576</v>
      </c>
    </row>
    <row r="69" spans="1:8" x14ac:dyDescent="0.3">
      <c r="C69" s="13"/>
      <c r="D69" s="13"/>
      <c r="E69" s="13"/>
      <c r="F69" s="13"/>
      <c r="G69" s="13"/>
      <c r="H69" s="13"/>
    </row>
    <row r="70" spans="1:8" x14ac:dyDescent="0.3">
      <c r="B70" s="11" t="s">
        <v>92</v>
      </c>
      <c r="C70" s="82">
        <f>(5229.62/100)/(C64+C65+C66)</f>
        <v>6.6202900429426004E-2</v>
      </c>
      <c r="D70" s="13"/>
    </row>
    <row r="71" spans="1:8" x14ac:dyDescent="0.3">
      <c r="C71" s="11">
        <f>4886.06+152.81+190.74</f>
        <v>5229.6100000000006</v>
      </c>
      <c r="D71" s="13"/>
    </row>
    <row r="73" spans="1:8" x14ac:dyDescent="0.3">
      <c r="A73" s="14">
        <v>9</v>
      </c>
      <c r="B73" s="15" t="s">
        <v>93</v>
      </c>
    </row>
    <row r="74" spans="1:8" x14ac:dyDescent="0.3">
      <c r="A74" s="14"/>
      <c r="B74" s="15"/>
      <c r="C74" s="1" t="s">
        <v>1</v>
      </c>
      <c r="D74" s="1" t="s">
        <v>2</v>
      </c>
      <c r="E74" s="1" t="s">
        <v>2</v>
      </c>
      <c r="F74" s="87">
        <v>45930</v>
      </c>
    </row>
    <row r="75" spans="1:8" x14ac:dyDescent="0.3">
      <c r="B75" s="11" t="s">
        <v>93</v>
      </c>
      <c r="C75" s="85">
        <f>Proj_WC!B6</f>
        <v>706.85059999999999</v>
      </c>
      <c r="D75" s="85">
        <f>Proj_WC!C6</f>
        <v>466.26090000000011</v>
      </c>
      <c r="E75" s="85">
        <f>Proj_WC!D6</f>
        <v>658.91840000000013</v>
      </c>
      <c r="F75" s="85">
        <f>Proj_WC!E6</f>
        <v>730.1722000000002</v>
      </c>
    </row>
    <row r="76" spans="1:8" x14ac:dyDescent="0.3">
      <c r="B76" s="11" t="s">
        <v>0</v>
      </c>
      <c r="C76" s="76">
        <f>Proj_WC!B8</f>
        <v>3023.0765999999999</v>
      </c>
      <c r="D76" s="76">
        <f>Proj_WC!C8</f>
        <v>2122.9517000000001</v>
      </c>
      <c r="E76" s="76">
        <f>Proj_WC!D8</f>
        <v>2269.1478999999999</v>
      </c>
      <c r="F76" s="76">
        <f>Proj_WC!E8</f>
        <v>2370.1404000000002</v>
      </c>
    </row>
    <row r="77" spans="1:8" x14ac:dyDescent="0.3">
      <c r="B77" s="83" t="s">
        <v>76</v>
      </c>
      <c r="C77" s="84">
        <f>C75/C76</f>
        <v>0.23381828961925741</v>
      </c>
      <c r="D77" s="84">
        <f t="shared" ref="D77:F77" si="10">D75/D76</f>
        <v>0.2196285954126983</v>
      </c>
      <c r="E77" s="84">
        <f t="shared" si="10"/>
        <v>0.29038142467487471</v>
      </c>
      <c r="F77" s="84">
        <f t="shared" si="10"/>
        <v>0.30807128556603658</v>
      </c>
    </row>
    <row r="79" spans="1:8" x14ac:dyDescent="0.3">
      <c r="B79" s="86" t="s">
        <v>94</v>
      </c>
      <c r="C79" s="32">
        <f>ROUND(AVERAGE(C77:F77),1)</f>
        <v>0.3</v>
      </c>
    </row>
  </sheetData>
  <mergeCells count="1">
    <mergeCell ref="D27:M27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014B-B29F-4C40-B111-6D4D75FFFE77}">
  <dimension ref="A2:K43"/>
  <sheetViews>
    <sheetView showGridLines="0" topLeftCell="A2" zoomScaleNormal="100" workbookViewId="0">
      <pane xSplit="1" ySplit="3" topLeftCell="B5" activePane="bottomRight" state="frozen"/>
      <selection activeCell="A2" sqref="A2"/>
      <selection pane="topRight" activeCell="B2" sqref="B2"/>
      <selection pane="bottomLeft" activeCell="A5" sqref="A5"/>
      <selection pane="bottomRight" activeCell="B5" sqref="B5"/>
    </sheetView>
  </sheetViews>
  <sheetFormatPr defaultRowHeight="14.4" x14ac:dyDescent="0.3"/>
  <cols>
    <col min="1" max="1" width="29.109375" bestFit="1" customWidth="1"/>
    <col min="2" max="4" width="11.21875" bestFit="1" customWidth="1"/>
    <col min="5" max="5" width="11.21875" customWidth="1"/>
    <col min="6" max="10" width="11.21875" bestFit="1" customWidth="1"/>
    <col min="11" max="11" width="8.77734375" style="3"/>
  </cols>
  <sheetData>
    <row r="2" spans="1:11" x14ac:dyDescent="0.3">
      <c r="J2" s="2" t="s">
        <v>10</v>
      </c>
    </row>
    <row r="3" spans="1:11" x14ac:dyDescent="0.3">
      <c r="A3" s="209" t="s">
        <v>68</v>
      </c>
      <c r="B3" s="1" t="s">
        <v>1</v>
      </c>
      <c r="C3" s="1" t="s">
        <v>2</v>
      </c>
      <c r="D3" s="1" t="s">
        <v>2</v>
      </c>
      <c r="E3" s="1" t="s">
        <v>41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1" x14ac:dyDescent="0.3">
      <c r="A4" s="209"/>
      <c r="B4" s="1" t="s">
        <v>3</v>
      </c>
      <c r="C4" s="1" t="s">
        <v>3</v>
      </c>
      <c r="D4" s="1" t="s">
        <v>3</v>
      </c>
      <c r="E4" s="1" t="s">
        <v>3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1" x14ac:dyDescent="0.3">
      <c r="A5" s="44" t="s">
        <v>0</v>
      </c>
      <c r="B5" s="45"/>
      <c r="C5" s="45"/>
      <c r="D5" s="45"/>
      <c r="E5" s="60"/>
      <c r="F5" s="45"/>
      <c r="G5" s="45"/>
      <c r="H5" s="45"/>
      <c r="I5" s="45"/>
      <c r="J5" s="45"/>
    </row>
    <row r="6" spans="1:11" x14ac:dyDescent="0.3">
      <c r="A6" s="46" t="s">
        <v>17</v>
      </c>
      <c r="B6" s="21"/>
      <c r="C6" s="21"/>
      <c r="D6" s="21"/>
      <c r="E6" s="61"/>
      <c r="F6" s="21"/>
      <c r="G6" s="21"/>
      <c r="H6" s="21"/>
      <c r="I6" s="21"/>
      <c r="J6" s="21"/>
    </row>
    <row r="7" spans="1:11" x14ac:dyDescent="0.3">
      <c r="A7" s="21" t="s">
        <v>12</v>
      </c>
      <c r="B7" s="47">
        <v>49500</v>
      </c>
      <c r="C7" s="47">
        <f>B7</f>
        <v>49500</v>
      </c>
      <c r="D7" s="47">
        <f t="shared" ref="D7:J7" si="0">C7</f>
        <v>49500</v>
      </c>
      <c r="E7" s="62"/>
      <c r="F7" s="47">
        <f>D7</f>
        <v>49500</v>
      </c>
      <c r="G7" s="47">
        <f t="shared" si="0"/>
        <v>49500</v>
      </c>
      <c r="H7" s="47">
        <f t="shared" si="0"/>
        <v>49500</v>
      </c>
      <c r="I7" s="47">
        <f t="shared" si="0"/>
        <v>49500</v>
      </c>
      <c r="J7" s="47">
        <f t="shared" si="0"/>
        <v>49500</v>
      </c>
    </row>
    <row r="8" spans="1:11" x14ac:dyDescent="0.3">
      <c r="A8" s="21" t="s">
        <v>13</v>
      </c>
      <c r="B8" s="47">
        <v>5000</v>
      </c>
      <c r="C8" s="47">
        <f t="shared" ref="C8:J8" si="1">B8</f>
        <v>5000</v>
      </c>
      <c r="D8" s="47">
        <f t="shared" si="1"/>
        <v>5000</v>
      </c>
      <c r="E8" s="62"/>
      <c r="F8" s="47">
        <f>D8</f>
        <v>5000</v>
      </c>
      <c r="G8" s="47">
        <f t="shared" si="1"/>
        <v>5000</v>
      </c>
      <c r="H8" s="47">
        <f t="shared" si="1"/>
        <v>5000</v>
      </c>
      <c r="I8" s="47">
        <f t="shared" si="1"/>
        <v>5000</v>
      </c>
      <c r="J8" s="47">
        <f t="shared" si="1"/>
        <v>5000</v>
      </c>
    </row>
    <row r="9" spans="1:11" x14ac:dyDescent="0.3">
      <c r="A9" s="21" t="s">
        <v>14</v>
      </c>
      <c r="B9" s="47">
        <v>32000</v>
      </c>
      <c r="C9" s="47">
        <f t="shared" ref="C9:J9" si="2">B9</f>
        <v>32000</v>
      </c>
      <c r="D9" s="47">
        <f t="shared" si="2"/>
        <v>32000</v>
      </c>
      <c r="E9" s="62"/>
      <c r="F9" s="47">
        <f>D9</f>
        <v>32000</v>
      </c>
      <c r="G9" s="47">
        <f t="shared" si="2"/>
        <v>32000</v>
      </c>
      <c r="H9" s="47">
        <f t="shared" si="2"/>
        <v>32000</v>
      </c>
      <c r="I9" s="47">
        <f t="shared" si="2"/>
        <v>32000</v>
      </c>
      <c r="J9" s="47">
        <f t="shared" si="2"/>
        <v>32000</v>
      </c>
    </row>
    <row r="10" spans="1:11" x14ac:dyDescent="0.3">
      <c r="A10" s="21" t="s">
        <v>16</v>
      </c>
      <c r="B10" s="47">
        <v>6400</v>
      </c>
      <c r="C10" s="47">
        <f t="shared" ref="C10:J10" si="3">B10</f>
        <v>6400</v>
      </c>
      <c r="D10" s="47">
        <f t="shared" si="3"/>
        <v>6400</v>
      </c>
      <c r="E10" s="62"/>
      <c r="F10" s="47">
        <f>D10</f>
        <v>6400</v>
      </c>
      <c r="G10" s="47">
        <f t="shared" si="3"/>
        <v>6400</v>
      </c>
      <c r="H10" s="47">
        <f t="shared" si="3"/>
        <v>6400</v>
      </c>
      <c r="I10" s="47">
        <f t="shared" si="3"/>
        <v>6400</v>
      </c>
      <c r="J10" s="47">
        <f t="shared" si="3"/>
        <v>6400</v>
      </c>
    </row>
    <row r="11" spans="1:11" x14ac:dyDescent="0.3">
      <c r="A11" s="21" t="s">
        <v>15</v>
      </c>
      <c r="B11" s="47">
        <v>8400</v>
      </c>
      <c r="C11" s="47">
        <f t="shared" ref="C11:J11" si="4">B11</f>
        <v>8400</v>
      </c>
      <c r="D11" s="47">
        <f t="shared" si="4"/>
        <v>8400</v>
      </c>
      <c r="E11" s="62"/>
      <c r="F11" s="47">
        <f>D11</f>
        <v>8400</v>
      </c>
      <c r="G11" s="47">
        <f t="shared" si="4"/>
        <v>8400</v>
      </c>
      <c r="H11" s="47">
        <f t="shared" si="4"/>
        <v>8400</v>
      </c>
      <c r="I11" s="47">
        <f t="shared" si="4"/>
        <v>8400</v>
      </c>
      <c r="J11" s="47">
        <f t="shared" si="4"/>
        <v>8400</v>
      </c>
    </row>
    <row r="12" spans="1:11" x14ac:dyDescent="0.3">
      <c r="A12" s="21"/>
      <c r="B12" s="48">
        <f>SUM(B7:B11)</f>
        <v>101300</v>
      </c>
      <c r="C12" s="48">
        <f>SUM(C7:C11)</f>
        <v>101300</v>
      </c>
      <c r="D12" s="48">
        <f>SUM(D7:D11)</f>
        <v>101300</v>
      </c>
      <c r="E12" s="63"/>
      <c r="F12" s="48">
        <f>SUM(F7:F11)</f>
        <v>101300</v>
      </c>
      <c r="G12" s="48">
        <f>SUM(G7:G11)</f>
        <v>101300</v>
      </c>
      <c r="H12" s="48">
        <f>SUM(H7:H11)</f>
        <v>101300</v>
      </c>
      <c r="I12" s="48">
        <f>SUM(I7:I11)</f>
        <v>101300</v>
      </c>
      <c r="J12" s="48">
        <f>SUM(J7:J11)</f>
        <v>101300</v>
      </c>
    </row>
    <row r="13" spans="1:11" x14ac:dyDescent="0.3">
      <c r="A13" s="21" t="s">
        <v>11</v>
      </c>
      <c r="B13" s="49">
        <v>0.9</v>
      </c>
      <c r="C13" s="49">
        <f>B13</f>
        <v>0.9</v>
      </c>
      <c r="D13" s="49">
        <f t="shared" ref="D13:J13" si="5">C13</f>
        <v>0.9</v>
      </c>
      <c r="E13" s="64"/>
      <c r="F13" s="49">
        <f>D13</f>
        <v>0.9</v>
      </c>
      <c r="G13" s="49">
        <f t="shared" si="5"/>
        <v>0.9</v>
      </c>
      <c r="H13" s="49">
        <f t="shared" si="5"/>
        <v>0.9</v>
      </c>
      <c r="I13" s="49">
        <f t="shared" si="5"/>
        <v>0.9</v>
      </c>
      <c r="J13" s="49">
        <f t="shared" si="5"/>
        <v>0.9</v>
      </c>
      <c r="K13" s="3" t="s">
        <v>34</v>
      </c>
    </row>
    <row r="14" spans="1:11" ht="4.95" customHeight="1" x14ac:dyDescent="0.3">
      <c r="A14" s="21"/>
      <c r="B14" s="21"/>
      <c r="C14" s="21"/>
      <c r="D14" s="21"/>
      <c r="E14" s="61"/>
      <c r="F14" s="21"/>
      <c r="G14" s="21"/>
      <c r="H14" s="21"/>
      <c r="I14" s="21"/>
      <c r="J14" s="21"/>
    </row>
    <row r="15" spans="1:11" x14ac:dyDescent="0.3">
      <c r="A15" s="21" t="s">
        <v>50</v>
      </c>
      <c r="B15" s="47">
        <v>10000</v>
      </c>
      <c r="C15" s="47">
        <f t="shared" ref="C15:J15" si="6">B15</f>
        <v>10000</v>
      </c>
      <c r="D15" s="47">
        <f t="shared" si="6"/>
        <v>10000</v>
      </c>
      <c r="E15" s="62"/>
      <c r="F15" s="47">
        <f>D15</f>
        <v>10000</v>
      </c>
      <c r="G15" s="47">
        <f t="shared" si="6"/>
        <v>10000</v>
      </c>
      <c r="H15" s="47">
        <f t="shared" si="6"/>
        <v>10000</v>
      </c>
      <c r="I15" s="47">
        <f t="shared" si="6"/>
        <v>10000</v>
      </c>
      <c r="J15" s="47">
        <f t="shared" si="6"/>
        <v>10000</v>
      </c>
    </row>
    <row r="16" spans="1:11" x14ac:dyDescent="0.3">
      <c r="A16" s="21" t="s">
        <v>11</v>
      </c>
      <c r="B16" s="49">
        <v>0.7</v>
      </c>
      <c r="C16" s="49">
        <v>0.8</v>
      </c>
      <c r="D16" s="49">
        <f>C16</f>
        <v>0.8</v>
      </c>
      <c r="E16" s="64"/>
      <c r="F16" s="49">
        <v>0.85</v>
      </c>
      <c r="G16" s="49">
        <v>0.9</v>
      </c>
      <c r="H16" s="49">
        <f>G16</f>
        <v>0.9</v>
      </c>
      <c r="I16" s="49">
        <f>I13</f>
        <v>0.9</v>
      </c>
      <c r="J16" s="49">
        <f>J13</f>
        <v>0.9</v>
      </c>
      <c r="K16" s="3" t="s">
        <v>47</v>
      </c>
    </row>
    <row r="17" spans="1:11" x14ac:dyDescent="0.3">
      <c r="A17" s="21"/>
      <c r="B17" s="21"/>
      <c r="C17" s="21"/>
      <c r="D17" s="21"/>
      <c r="E17" s="61"/>
      <c r="F17" s="21"/>
      <c r="G17" s="21"/>
      <c r="H17" s="21"/>
      <c r="I17" s="21"/>
      <c r="J17" s="21"/>
    </row>
    <row r="18" spans="1:11" x14ac:dyDescent="0.3">
      <c r="A18" s="21" t="s">
        <v>51</v>
      </c>
      <c r="B18" s="47">
        <f>(B12*B13)+(B15*B16)</f>
        <v>98170</v>
      </c>
      <c r="C18" s="47">
        <f t="shared" ref="C18:J18" si="7">(C12*C13)+(C15*C16)</f>
        <v>99170</v>
      </c>
      <c r="D18" s="47">
        <f t="shared" si="7"/>
        <v>99170</v>
      </c>
      <c r="E18" s="62"/>
      <c r="F18" s="47">
        <f t="shared" si="7"/>
        <v>99670</v>
      </c>
      <c r="G18" s="47">
        <f t="shared" si="7"/>
        <v>100170</v>
      </c>
      <c r="H18" s="47">
        <f t="shared" si="7"/>
        <v>100170</v>
      </c>
      <c r="I18" s="47">
        <f t="shared" si="7"/>
        <v>100170</v>
      </c>
      <c r="J18" s="47">
        <f t="shared" si="7"/>
        <v>100170</v>
      </c>
    </row>
    <row r="19" spans="1:11" x14ac:dyDescent="0.3">
      <c r="A19" s="21" t="s">
        <v>49</v>
      </c>
      <c r="B19" s="21"/>
      <c r="C19" s="21"/>
      <c r="D19" s="21"/>
      <c r="E19" s="61"/>
      <c r="F19" s="52">
        <f>Assumptions!C6*1.07</f>
        <v>236943.96349702534</v>
      </c>
      <c r="G19" s="52">
        <f>F19*1.07</f>
        <v>253530.04094181713</v>
      </c>
      <c r="H19" s="52">
        <f t="shared" ref="H19:J19" si="8">G19*1.07</f>
        <v>271277.14380774437</v>
      </c>
      <c r="I19" s="52">
        <f t="shared" si="8"/>
        <v>290266.54387428652</v>
      </c>
      <c r="J19" s="52">
        <f t="shared" si="8"/>
        <v>310585.20194548659</v>
      </c>
      <c r="K19" s="89"/>
    </row>
    <row r="20" spans="1:11" x14ac:dyDescent="0.3">
      <c r="A20" s="21"/>
      <c r="B20" s="21"/>
      <c r="C20" s="21"/>
      <c r="D20" s="21"/>
      <c r="E20" s="61"/>
      <c r="F20" s="21"/>
      <c r="G20" s="21"/>
      <c r="H20" s="21"/>
      <c r="I20" s="21"/>
      <c r="J20" s="21"/>
    </row>
    <row r="21" spans="1:11" x14ac:dyDescent="0.3">
      <c r="A21" s="50" t="s">
        <v>25</v>
      </c>
      <c r="B21" s="50"/>
      <c r="C21" s="50"/>
      <c r="D21" s="50"/>
      <c r="E21" s="65"/>
      <c r="F21" s="51">
        <f>F18*F19/10^7</f>
        <v>2361.6204841748518</v>
      </c>
      <c r="G21" s="51">
        <f t="shared" ref="G21:J21" si="9">G18*G19/10^7</f>
        <v>2539.6104201141825</v>
      </c>
      <c r="H21" s="51">
        <f t="shared" si="9"/>
        <v>2717.3831495221752</v>
      </c>
      <c r="I21" s="51">
        <f t="shared" si="9"/>
        <v>2907.5999699887279</v>
      </c>
      <c r="J21" s="51">
        <f t="shared" si="9"/>
        <v>3111.131967887939</v>
      </c>
    </row>
    <row r="22" spans="1:11" x14ac:dyDescent="0.3">
      <c r="A22" s="21" t="s">
        <v>29</v>
      </c>
      <c r="B22" s="21"/>
      <c r="C22" s="21"/>
      <c r="D22" s="21"/>
      <c r="E22" s="61"/>
      <c r="F22" s="52">
        <f>Assumptions!C27</f>
        <v>1525.5882401123013</v>
      </c>
      <c r="G22" s="52">
        <f>F22</f>
        <v>1525.5882401123013</v>
      </c>
      <c r="H22" s="52">
        <f t="shared" ref="H22" si="10">G22</f>
        <v>1525.5882401123013</v>
      </c>
      <c r="I22" s="52">
        <f>H22*1.05</f>
        <v>1601.8676521179164</v>
      </c>
      <c r="J22" s="52">
        <f>I22*1.05</f>
        <v>1681.9610347238122</v>
      </c>
      <c r="K22" s="3" t="s">
        <v>53</v>
      </c>
    </row>
    <row r="23" spans="1:11" x14ac:dyDescent="0.3">
      <c r="A23" s="21" t="s">
        <v>11</v>
      </c>
      <c r="B23" s="21"/>
      <c r="C23" s="21"/>
      <c r="D23" s="21"/>
      <c r="E23" s="61"/>
      <c r="F23" s="49">
        <v>0</v>
      </c>
      <c r="G23" s="49">
        <v>0</v>
      </c>
      <c r="H23" s="53">
        <v>0.45</v>
      </c>
      <c r="I23" s="53">
        <v>0.5</v>
      </c>
      <c r="J23" s="53">
        <v>0.55000000000000004</v>
      </c>
      <c r="K23" s="3" t="s">
        <v>98</v>
      </c>
    </row>
    <row r="24" spans="1:11" x14ac:dyDescent="0.3">
      <c r="A24" s="50" t="s">
        <v>26</v>
      </c>
      <c r="B24" s="50"/>
      <c r="C24" s="50"/>
      <c r="D24" s="50"/>
      <c r="E24" s="65"/>
      <c r="F24" s="51">
        <f>F22*F23</f>
        <v>0</v>
      </c>
      <c r="G24" s="51">
        <f t="shared" ref="G24:J24" si="11">G22*G23</f>
        <v>0</v>
      </c>
      <c r="H24" s="51">
        <f t="shared" si="11"/>
        <v>686.51470805053555</v>
      </c>
      <c r="I24" s="51">
        <f t="shared" si="11"/>
        <v>800.93382605895818</v>
      </c>
      <c r="J24" s="51">
        <f t="shared" si="11"/>
        <v>925.07856909809675</v>
      </c>
    </row>
    <row r="25" spans="1:11" x14ac:dyDescent="0.3">
      <c r="A25" s="50"/>
      <c r="B25" s="50"/>
      <c r="C25" s="50"/>
      <c r="D25" s="50"/>
      <c r="E25" s="65"/>
      <c r="F25" s="51"/>
      <c r="G25" s="51"/>
      <c r="H25" s="51"/>
      <c r="I25" s="51"/>
      <c r="J25" s="51"/>
    </row>
    <row r="26" spans="1:11" x14ac:dyDescent="0.3">
      <c r="A26" s="50" t="s">
        <v>33</v>
      </c>
      <c r="B26" s="50"/>
      <c r="C26" s="50"/>
      <c r="D26" s="50"/>
      <c r="E26" s="65"/>
      <c r="F26" s="51">
        <f>Assumptions!C36</f>
        <v>595.19999999999993</v>
      </c>
      <c r="G26" s="51">
        <f>F26</f>
        <v>595.19999999999993</v>
      </c>
      <c r="H26" s="51">
        <f>G26</f>
        <v>595.19999999999993</v>
      </c>
      <c r="I26" s="51">
        <f t="shared" ref="I26" si="12">H26</f>
        <v>595.19999999999993</v>
      </c>
      <c r="J26" s="51">
        <f>I26*1.05</f>
        <v>624.95999999999992</v>
      </c>
      <c r="K26" s="3" t="s">
        <v>53</v>
      </c>
    </row>
    <row r="27" spans="1:11" x14ac:dyDescent="0.3">
      <c r="A27" s="21" t="s">
        <v>11</v>
      </c>
      <c r="B27" s="21"/>
      <c r="C27" s="21"/>
      <c r="D27" s="21"/>
      <c r="E27" s="61"/>
      <c r="F27" s="49">
        <v>0</v>
      </c>
      <c r="G27" s="49">
        <v>0</v>
      </c>
      <c r="H27" s="49">
        <v>0</v>
      </c>
      <c r="I27" s="53">
        <v>0.3</v>
      </c>
      <c r="J27" s="53">
        <v>0.35</v>
      </c>
      <c r="K27" s="3" t="s">
        <v>99</v>
      </c>
    </row>
    <row r="28" spans="1:11" x14ac:dyDescent="0.3">
      <c r="A28" s="50" t="s">
        <v>35</v>
      </c>
      <c r="B28" s="50"/>
      <c r="C28" s="50"/>
      <c r="D28" s="50"/>
      <c r="E28" s="65"/>
      <c r="F28" s="51">
        <f>F26*F27</f>
        <v>0</v>
      </c>
      <c r="G28" s="51">
        <f t="shared" ref="G28:J28" si="13">G26*G27</f>
        <v>0</v>
      </c>
      <c r="H28" s="51">
        <f t="shared" si="13"/>
        <v>0</v>
      </c>
      <c r="I28" s="51">
        <f t="shared" si="13"/>
        <v>178.55999999999997</v>
      </c>
      <c r="J28" s="51">
        <f t="shared" si="13"/>
        <v>218.73599999999996</v>
      </c>
    </row>
    <row r="29" spans="1:11" x14ac:dyDescent="0.3">
      <c r="A29" s="21"/>
      <c r="B29" s="21"/>
      <c r="C29" s="21"/>
      <c r="D29" s="21"/>
      <c r="E29" s="61"/>
      <c r="F29" s="21"/>
      <c r="G29" s="21"/>
      <c r="H29" s="21"/>
      <c r="I29" s="21"/>
      <c r="J29" s="21"/>
    </row>
    <row r="30" spans="1:11" x14ac:dyDescent="0.3">
      <c r="A30" s="9" t="s">
        <v>30</v>
      </c>
      <c r="B30" s="10">
        <f>'P&amp;L Analysis'!E10</f>
        <v>3023.0765999999999</v>
      </c>
      <c r="C30" s="10">
        <f>'P&amp;L Analysis'!F10</f>
        <v>2122.9517000000001</v>
      </c>
      <c r="D30" s="10">
        <f>'P&amp;L Analysis'!G10</f>
        <v>2269.1478999999999</v>
      </c>
      <c r="E30" s="66">
        <f>118507.02/100</f>
        <v>1185.0702000000001</v>
      </c>
      <c r="F30" s="10">
        <f t="shared" ref="F30:H30" si="14">F21+F24+F28</f>
        <v>2361.6204841748518</v>
      </c>
      <c r="G30" s="10">
        <f t="shared" si="14"/>
        <v>2539.6104201141825</v>
      </c>
      <c r="H30" s="10">
        <f t="shared" si="14"/>
        <v>3403.8978575727106</v>
      </c>
      <c r="I30" s="10">
        <f>I21+I24+I28</f>
        <v>3887.0937960476863</v>
      </c>
      <c r="J30" s="10">
        <f t="shared" ref="J30" si="15">J21+J24+J28</f>
        <v>4254.9465369860354</v>
      </c>
    </row>
    <row r="31" spans="1:11" x14ac:dyDescent="0.3">
      <c r="A31" s="54" t="s">
        <v>67</v>
      </c>
      <c r="B31" s="55"/>
      <c r="C31" s="55"/>
      <c r="D31" s="55"/>
      <c r="E31" s="67"/>
      <c r="F31" s="56">
        <f>F30/D30-1</f>
        <v>4.0752118526452996E-2</v>
      </c>
      <c r="G31" s="56">
        <f>G30/F30-1</f>
        <v>7.5367713454399521E-2</v>
      </c>
      <c r="H31" s="56">
        <f t="shared" ref="H31:J31" si="16">H30/G30-1</f>
        <v>0.34032284267429858</v>
      </c>
      <c r="I31" s="56">
        <f t="shared" si="16"/>
        <v>0.14195371268265333</v>
      </c>
      <c r="J31" s="56">
        <f t="shared" si="16"/>
        <v>9.4634387601445047E-2</v>
      </c>
    </row>
    <row r="32" spans="1:11" x14ac:dyDescent="0.3">
      <c r="A32" s="21"/>
      <c r="B32" s="21"/>
      <c r="C32" s="21"/>
      <c r="D32" s="21"/>
      <c r="E32" s="61"/>
      <c r="F32" s="57"/>
      <c r="G32" s="21"/>
      <c r="H32" s="21"/>
      <c r="I32" s="21"/>
      <c r="J32" s="21"/>
    </row>
    <row r="33" spans="1:11" x14ac:dyDescent="0.3">
      <c r="A33" s="21" t="s">
        <v>48</v>
      </c>
      <c r="B33" s="21"/>
      <c r="C33" s="21"/>
      <c r="D33" s="21"/>
      <c r="E33" s="68">
        <f>(71700.64+591.08-2336.56)/100</f>
        <v>699.55160000000001</v>
      </c>
      <c r="F33" s="52">
        <f>Assumptions!$C$39*F30</f>
        <v>1416.9722905049109</v>
      </c>
      <c r="G33" s="52">
        <f>Assumptions!$C$39*G30</f>
        <v>1523.7662520685094</v>
      </c>
      <c r="H33" s="52">
        <f>Assumptions!$C$39*H30</f>
        <v>2042.3387145436263</v>
      </c>
      <c r="I33" s="52">
        <f>Assumptions!$C$39*I30</f>
        <v>2332.2562776286118</v>
      </c>
      <c r="J33" s="52">
        <f>Assumptions!$C$39*J30</f>
        <v>2552.9679221916213</v>
      </c>
      <c r="K33" s="3" t="s">
        <v>56</v>
      </c>
    </row>
    <row r="34" spans="1:11" x14ac:dyDescent="0.3">
      <c r="A34" s="21" t="s">
        <v>57</v>
      </c>
      <c r="B34" s="21"/>
      <c r="C34" s="21"/>
      <c r="D34" s="21"/>
      <c r="E34" s="68">
        <f>7715.72/100</f>
        <v>77.157200000000003</v>
      </c>
      <c r="F34" s="52">
        <f>Assumptions!C43*F30</f>
        <v>141.6972290504911</v>
      </c>
      <c r="G34" s="52">
        <f>Assumptions!D43*G30</f>
        <v>165.07467730742187</v>
      </c>
      <c r="H34" s="52">
        <f>Assumptions!E43*H30</f>
        <v>221.25336074222619</v>
      </c>
      <c r="I34" s="52">
        <f>Assumptions!F43*I30</f>
        <v>272.09656572333807</v>
      </c>
      <c r="J34" s="52">
        <f>Assumptions!G43*J30</f>
        <v>297.84625758902251</v>
      </c>
      <c r="K34" s="3" t="s">
        <v>56</v>
      </c>
    </row>
    <row r="35" spans="1:11" x14ac:dyDescent="0.3">
      <c r="A35" s="21" t="s">
        <v>60</v>
      </c>
      <c r="B35" s="21"/>
      <c r="C35" s="21"/>
      <c r="D35" s="21"/>
      <c r="E35" s="68">
        <f>15021.33/100</f>
        <v>150.2133</v>
      </c>
      <c r="F35" s="52">
        <f>Assumptions!$C$46*F30</f>
        <v>286.87523876337258</v>
      </c>
      <c r="G35" s="52">
        <f>Assumptions!$C$46*G30</f>
        <v>308.4963695556529</v>
      </c>
      <c r="H35" s="52">
        <f>Assumptions!$C$46*H30</f>
        <v>413.48473099753363</v>
      </c>
      <c r="I35" s="52">
        <f>Assumptions!$C$46*I30</f>
        <v>472.18042370022175</v>
      </c>
      <c r="J35" s="52">
        <f>Assumptions!$C$46*J30</f>
        <v>516.86492893448303</v>
      </c>
      <c r="K35" s="3" t="s">
        <v>56</v>
      </c>
    </row>
    <row r="36" spans="1:11" x14ac:dyDescent="0.3">
      <c r="A36" s="21"/>
      <c r="B36" s="21"/>
      <c r="C36" s="21"/>
      <c r="D36" s="21"/>
      <c r="E36" s="61"/>
      <c r="F36" s="52"/>
      <c r="G36" s="21"/>
      <c r="H36" s="21"/>
      <c r="I36" s="21"/>
      <c r="J36" s="21"/>
    </row>
    <row r="37" spans="1:11" x14ac:dyDescent="0.3">
      <c r="A37" s="9" t="s">
        <v>62</v>
      </c>
      <c r="B37" s="10">
        <f t="shared" ref="B37:J37" si="17">B30-SUM(B33:B35)</f>
        <v>3023.0765999999999</v>
      </c>
      <c r="C37" s="10">
        <f t="shared" si="17"/>
        <v>2122.9517000000001</v>
      </c>
      <c r="D37" s="10">
        <f t="shared" si="17"/>
        <v>2269.1478999999999</v>
      </c>
      <c r="E37" s="66">
        <f t="shared" si="17"/>
        <v>258.14810000000011</v>
      </c>
      <c r="F37" s="10">
        <f t="shared" si="17"/>
        <v>516.07572585607704</v>
      </c>
      <c r="G37" s="10">
        <f t="shared" si="17"/>
        <v>542.27312118259852</v>
      </c>
      <c r="H37" s="10">
        <f t="shared" si="17"/>
        <v>726.82105128932471</v>
      </c>
      <c r="I37" s="10">
        <f t="shared" si="17"/>
        <v>810.56052899551469</v>
      </c>
      <c r="J37" s="10">
        <f t="shared" si="17"/>
        <v>887.26742827090857</v>
      </c>
    </row>
    <row r="38" spans="1:11" x14ac:dyDescent="0.3">
      <c r="A38" s="58" t="s">
        <v>69</v>
      </c>
      <c r="B38" s="55"/>
      <c r="C38" s="55"/>
      <c r="D38" s="55"/>
      <c r="E38" s="69">
        <f>E37/E30</f>
        <v>0.21783359331793178</v>
      </c>
      <c r="F38" s="59">
        <f t="shared" ref="F38:J38" si="18">F37/F30</f>
        <v>0.21852610498354205</v>
      </c>
      <c r="G38" s="59">
        <f t="shared" si="18"/>
        <v>0.21352610498354216</v>
      </c>
      <c r="H38" s="59">
        <f t="shared" si="18"/>
        <v>0.21352610498354213</v>
      </c>
      <c r="I38" s="59">
        <f t="shared" si="18"/>
        <v>0.20852610498354202</v>
      </c>
      <c r="J38" s="59">
        <f t="shared" si="18"/>
        <v>0.20852610498354202</v>
      </c>
    </row>
    <row r="39" spans="1:11" x14ac:dyDescent="0.3">
      <c r="A39" s="21" t="s">
        <v>63</v>
      </c>
      <c r="B39" s="21"/>
      <c r="C39" s="21"/>
      <c r="D39" s="21"/>
      <c r="E39" s="68">
        <f>6094.8/100-1565.4/100</f>
        <v>45.293999999999997</v>
      </c>
      <c r="F39" s="52">
        <f>Assumptions!C51</f>
        <v>72.565899999999999</v>
      </c>
      <c r="G39" s="52">
        <f>F39</f>
        <v>72.565899999999999</v>
      </c>
      <c r="H39" s="52">
        <f t="shared" ref="H39:J39" si="19">G39</f>
        <v>72.565899999999999</v>
      </c>
      <c r="I39" s="52">
        <f t="shared" si="19"/>
        <v>72.565899999999999</v>
      </c>
      <c r="J39" s="52">
        <f t="shared" si="19"/>
        <v>72.565899999999999</v>
      </c>
    </row>
    <row r="40" spans="1:11" x14ac:dyDescent="0.3">
      <c r="A40" s="21" t="s">
        <v>70</v>
      </c>
      <c r="B40" s="21"/>
      <c r="C40" s="21"/>
      <c r="D40" s="21"/>
      <c r="E40" s="68"/>
      <c r="F40" s="52">
        <v>0</v>
      </c>
      <c r="G40" s="52">
        <v>0</v>
      </c>
      <c r="H40" s="52">
        <v>0</v>
      </c>
      <c r="I40" s="52">
        <v>0</v>
      </c>
      <c r="J40" s="52">
        <v>0</v>
      </c>
    </row>
    <row r="41" spans="1:11" x14ac:dyDescent="0.3">
      <c r="A41" s="21" t="s">
        <v>71</v>
      </c>
      <c r="B41" s="21"/>
      <c r="C41" s="21"/>
      <c r="D41" s="21"/>
      <c r="E41" s="68"/>
      <c r="F41" s="52">
        <f>-(Assumptions!D67-Assumptions!C67)</f>
        <v>67.357359847694397</v>
      </c>
      <c r="G41" s="52">
        <f>-(Assumptions!E67-Assumptions!D67)</f>
        <v>90.36286774691996</v>
      </c>
      <c r="H41" s="52">
        <f>-(Assumptions!F67-Assumptions!E67)</f>
        <v>108.23765086286494</v>
      </c>
      <c r="I41" s="52">
        <f>-(Assumptions!G67-Assumptions!F67)</f>
        <v>115.85098441224898</v>
      </c>
      <c r="J41" s="52">
        <f>-(Assumptions!H67-Assumptions!G67)</f>
        <v>118.49910042942599</v>
      </c>
    </row>
    <row r="42" spans="1:11" x14ac:dyDescent="0.3">
      <c r="A42" s="9" t="s">
        <v>72</v>
      </c>
      <c r="B42" s="66">
        <f t="shared" ref="B42:E42" si="20">B37+B39-B40-B41</f>
        <v>3023.0765999999999</v>
      </c>
      <c r="C42" s="66">
        <f t="shared" si="20"/>
        <v>2122.9517000000001</v>
      </c>
      <c r="D42" s="66">
        <f t="shared" si="20"/>
        <v>2269.1478999999999</v>
      </c>
      <c r="E42" s="66">
        <f t="shared" si="20"/>
        <v>303.4421000000001</v>
      </c>
      <c r="F42" s="66">
        <f>F37+F39-F40-F41</f>
        <v>521.2842660083827</v>
      </c>
      <c r="G42" s="66">
        <f t="shared" ref="G42:J42" si="21">G37+G39-G40-G41</f>
        <v>524.47615343567861</v>
      </c>
      <c r="H42" s="66">
        <f t="shared" si="21"/>
        <v>691.14930042645983</v>
      </c>
      <c r="I42" s="66">
        <f t="shared" si="21"/>
        <v>767.27544458326577</v>
      </c>
      <c r="J42" s="66">
        <f t="shared" si="21"/>
        <v>841.33422784148263</v>
      </c>
    </row>
    <row r="43" spans="1:11" x14ac:dyDescent="0.3">
      <c r="A43" s="58" t="s">
        <v>73</v>
      </c>
      <c r="B43" s="55"/>
      <c r="C43" s="55"/>
      <c r="D43" s="55"/>
      <c r="E43" s="69">
        <f>E42/E30</f>
        <v>0.25605411392506544</v>
      </c>
      <c r="F43" s="59">
        <f>F42/F30</f>
        <v>0.22073159912928134</v>
      </c>
      <c r="G43" s="59">
        <f>G42/G30</f>
        <v>0.20651834993341137</v>
      </c>
      <c r="H43" s="59">
        <f>H42/H30</f>
        <v>0.20304642775600568</v>
      </c>
      <c r="I43" s="59">
        <f>I42/I30</f>
        <v>0.19739051456988638</v>
      </c>
      <c r="J43" s="59">
        <f>J42/J30</f>
        <v>0.19773085760965553</v>
      </c>
    </row>
  </sheetData>
  <mergeCells count="1">
    <mergeCell ref="A3:A4"/>
  </mergeCells>
  <pageMargins left="0.7" right="0.7" top="0.75" bottom="0.75" header="0.3" footer="0.3"/>
  <ignoredErrors>
    <ignoredError sqref="F12:J12 C12:D12" 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5D97-CDAC-44A6-A0CA-DB962C74558C}">
  <dimension ref="A1:J9"/>
  <sheetViews>
    <sheetView showGridLines="0" workbookViewId="0">
      <selection activeCell="E3" sqref="E3"/>
    </sheetView>
  </sheetViews>
  <sheetFormatPr defaultRowHeight="14.4" x14ac:dyDescent="0.3"/>
  <cols>
    <col min="1" max="1" width="29.109375" bestFit="1" customWidth="1"/>
    <col min="2" max="4" width="11.21875" bestFit="1" customWidth="1"/>
    <col min="5" max="5" width="11.21875" customWidth="1"/>
    <col min="6" max="10" width="11.21875" bestFit="1" customWidth="1"/>
  </cols>
  <sheetData>
    <row r="1" spans="1:10" x14ac:dyDescent="0.3">
      <c r="A1" s="4" t="s">
        <v>74</v>
      </c>
    </row>
    <row r="2" spans="1:10" x14ac:dyDescent="0.3">
      <c r="J2" s="2" t="s">
        <v>10</v>
      </c>
    </row>
    <row r="3" spans="1:10" x14ac:dyDescent="0.3">
      <c r="A3" s="209" t="s">
        <v>68</v>
      </c>
      <c r="B3" s="1" t="s">
        <v>1</v>
      </c>
      <c r="C3" s="1" t="s">
        <v>2</v>
      </c>
      <c r="D3" s="1" t="s">
        <v>2</v>
      </c>
      <c r="E3" s="87">
        <v>45930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x14ac:dyDescent="0.3">
      <c r="A4" s="209"/>
      <c r="B4" s="1" t="s">
        <v>3</v>
      </c>
      <c r="C4" s="1" t="s">
        <v>3</v>
      </c>
      <c r="D4" s="1" t="s">
        <v>3</v>
      </c>
      <c r="E4" s="1" t="s">
        <v>3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 x14ac:dyDescent="0.3">
      <c r="A5" s="45"/>
      <c r="B5" s="45"/>
      <c r="C5" s="45"/>
      <c r="D5" s="45"/>
      <c r="E5" s="45"/>
      <c r="F5" s="45"/>
      <c r="G5" s="45"/>
      <c r="H5" s="45"/>
      <c r="I5" s="45"/>
      <c r="J5" s="45"/>
    </row>
    <row r="6" spans="1:10" x14ac:dyDescent="0.3">
      <c r="A6" s="50" t="s">
        <v>75</v>
      </c>
      <c r="B6" s="55">
        <f>WC!E26</f>
        <v>706.85059999999999</v>
      </c>
      <c r="C6" s="55">
        <f>WC!F26</f>
        <v>466.26090000000011</v>
      </c>
      <c r="D6" s="55">
        <f>WC!G26</f>
        <v>658.91840000000013</v>
      </c>
      <c r="E6" s="55">
        <f>WC!H26</f>
        <v>730.1722000000002</v>
      </c>
      <c r="F6" s="55">
        <f>F8*F9</f>
        <v>708.48614525245546</v>
      </c>
      <c r="G6" s="55">
        <f>G8*G9</f>
        <v>761.8831260342547</v>
      </c>
      <c r="H6" s="55">
        <f>H8*H9</f>
        <v>1021.1693572718132</v>
      </c>
      <c r="I6" s="55">
        <f>I8*I9</f>
        <v>1166.1281388143059</v>
      </c>
      <c r="J6" s="55">
        <f>J8*J9</f>
        <v>1276.4839610958106</v>
      </c>
    </row>
    <row r="7" spans="1:10" x14ac:dyDescent="0.3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 x14ac:dyDescent="0.3">
      <c r="A8" s="21" t="s">
        <v>0</v>
      </c>
      <c r="B8" s="52">
        <f>Proj_PL!B30</f>
        <v>3023.0765999999999</v>
      </c>
      <c r="C8" s="52">
        <f>Proj_PL!C30</f>
        <v>2122.9517000000001</v>
      </c>
      <c r="D8" s="52">
        <f>Proj_PL!D30</f>
        <v>2269.1478999999999</v>
      </c>
      <c r="E8" s="88">
        <f>Proj_PL!E30*2</f>
        <v>2370.1404000000002</v>
      </c>
      <c r="F8" s="52">
        <f>Proj_PL!F30</f>
        <v>2361.6204841748518</v>
      </c>
      <c r="G8" s="52">
        <f>Proj_PL!G30</f>
        <v>2539.6104201141825</v>
      </c>
      <c r="H8" s="52">
        <f>Proj_PL!H30</f>
        <v>3403.8978575727106</v>
      </c>
      <c r="I8" s="52">
        <f>Proj_PL!I30</f>
        <v>3887.0937960476863</v>
      </c>
      <c r="J8" s="52">
        <f>Proj_PL!J30</f>
        <v>4254.9465369860354</v>
      </c>
    </row>
    <row r="9" spans="1:10" x14ac:dyDescent="0.3">
      <c r="A9" s="70" t="s">
        <v>76</v>
      </c>
      <c r="B9" s="71">
        <f>B6/B8</f>
        <v>0.23381828961925741</v>
      </c>
      <c r="C9" s="71">
        <f>C6/C8</f>
        <v>0.2196285954126983</v>
      </c>
      <c r="D9" s="71">
        <f>D6/D8</f>
        <v>0.29038142467487471</v>
      </c>
      <c r="E9" s="71">
        <f>E6/E8</f>
        <v>0.30807128556603658</v>
      </c>
      <c r="F9" s="90">
        <f>Assumptions!C79</f>
        <v>0.3</v>
      </c>
      <c r="G9" s="90">
        <f>F9</f>
        <v>0.3</v>
      </c>
      <c r="H9" s="90">
        <f t="shared" ref="H9:J9" si="0">G9</f>
        <v>0.3</v>
      </c>
      <c r="I9" s="90">
        <f t="shared" si="0"/>
        <v>0.3</v>
      </c>
      <c r="J9" s="90">
        <f t="shared" si="0"/>
        <v>0.3</v>
      </c>
    </row>
  </sheetData>
  <mergeCells count="1">
    <mergeCell ref="A3:A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Analysis--&gt;</vt:lpstr>
      <vt:lpstr>P&amp;L Analysis</vt:lpstr>
      <vt:lpstr>Other Expenses</vt:lpstr>
      <vt:lpstr>BS</vt:lpstr>
      <vt:lpstr>WC</vt:lpstr>
      <vt:lpstr>Ratios</vt:lpstr>
      <vt:lpstr>Forecast--&gt;</vt:lpstr>
      <vt:lpstr>Assumptions</vt:lpstr>
      <vt:lpstr>Proj_PL</vt:lpstr>
      <vt:lpstr>Proj_WC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Hetvi Shah</dc:creator>
  <cp:lastModifiedBy>Chandresh Shah</cp:lastModifiedBy>
  <dcterms:created xsi:type="dcterms:W3CDTF">2026-01-23T18:47:21Z</dcterms:created>
  <dcterms:modified xsi:type="dcterms:W3CDTF">2026-08-13T11:27:30Z</dcterms:modified>
</cp:coreProperties>
</file>